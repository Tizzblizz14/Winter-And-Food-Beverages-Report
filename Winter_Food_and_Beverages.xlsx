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cuments\EXCEL WORK\"/>
    </mc:Choice>
  </mc:AlternateContent>
  <xr:revisionPtr revIDLastSave="0" documentId="13_ncr:1_{0A7C790F-EC5A-4FEE-BD90-8037C7402610}" xr6:coauthVersionLast="47" xr6:coauthVersionMax="47" xr10:uidLastSave="{00000000-0000-0000-0000-000000000000}"/>
  <bookViews>
    <workbookView xWindow="-120" yWindow="-120" windowWidth="29040" windowHeight="15720" activeTab="1" xr2:uid="{00000000-000D-0000-FFFF-FFFF00000000}"/>
  </bookViews>
  <sheets>
    <sheet name="Pivot Table" sheetId="3" r:id="rId1"/>
    <sheet name="Dashboard" sheetId="4" r:id="rId2"/>
    <sheet name="Winter_Food_and_Beverages" sheetId="1" r:id="rId3"/>
  </sheets>
  <definedNames>
    <definedName name="_xlnm._FilterDatabase" localSheetId="2" hidden="1">Winter_Food_and_Beverages!$A$1:$G$151</definedName>
    <definedName name="Slicer_Item">#N/A</definedName>
    <definedName name="Slicer_Season">#N/A</definedName>
    <definedName name="Slicer_Type">#N/A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3" l="1"/>
  <c r="H6" i="3"/>
  <c r="F12" i="3"/>
  <c r="D6" i="3"/>
</calcChain>
</file>

<file path=xl/sharedStrings.xml><?xml version="1.0" encoding="utf-8"?>
<sst xmlns="http://schemas.openxmlformats.org/spreadsheetml/2006/main" count="675" uniqueCount="41">
  <si>
    <t>ID</t>
  </si>
  <si>
    <t>Item</t>
  </si>
  <si>
    <t>Type</t>
  </si>
  <si>
    <t>Origin</t>
  </si>
  <si>
    <t>Season</t>
  </si>
  <si>
    <t>Price(USD)</t>
  </si>
  <si>
    <t>Popularity_Score</t>
  </si>
  <si>
    <t>Mulled Wine</t>
  </si>
  <si>
    <t>Snack</t>
  </si>
  <si>
    <t>Japan</t>
  </si>
  <si>
    <t>Winter 2025</t>
  </si>
  <si>
    <t>Hot Chocolate</t>
  </si>
  <si>
    <t>Drink</t>
  </si>
  <si>
    <t>Canada</t>
  </si>
  <si>
    <t>Winter 2024</t>
  </si>
  <si>
    <t>Hot Cider</t>
  </si>
  <si>
    <t>Germany</t>
  </si>
  <si>
    <t>Italy</t>
  </si>
  <si>
    <t>Switzerland</t>
  </si>
  <si>
    <t>Soup</t>
  </si>
  <si>
    <t>USA</t>
  </si>
  <si>
    <t>Herbal Tea</t>
  </si>
  <si>
    <t>Winter 2023</t>
  </si>
  <si>
    <t>Coffee</t>
  </si>
  <si>
    <t>India</t>
  </si>
  <si>
    <t>Green Tea</t>
  </si>
  <si>
    <t>China</t>
  </si>
  <si>
    <t>Chai</t>
  </si>
  <si>
    <t>UK</t>
  </si>
  <si>
    <t>Cappuccino</t>
  </si>
  <si>
    <t>Latte</t>
  </si>
  <si>
    <t>France</t>
  </si>
  <si>
    <t>Row Labels</t>
  </si>
  <si>
    <t>Grand Total</t>
  </si>
  <si>
    <t>Total Count</t>
  </si>
  <si>
    <t>Sum of Price(USD)</t>
  </si>
  <si>
    <t>Avg of Popularity_Score</t>
  </si>
  <si>
    <t>Count of Item</t>
  </si>
  <si>
    <t>Average of Popularity_Score</t>
  </si>
  <si>
    <t>Count of Type</t>
  </si>
  <si>
    <t>Average of Price(USD)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</si>
</sst>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_(&quot;$&quot;* #,##0_);_(&quot;$&quot;* \(#,##0\);_(&quot;$&quot;* &quot;-&quot;??_);_(@_)"/>
    <numFmt numFmtId="165" formatCode="&quot;$&quot;#,##0"/>
    <numFmt numFmtId="166" formatCode="0.0"/>
    <numFmt numFmtId="167" formatCode="#,##0.0"/>
    <numFmt numFmtId="168" formatCode="_(&quot;$&quot;* #,##0.0_);_(&quot;$&quot;* \(#,##0.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4" fontId="0" fillId="0" borderId="0" xfId="42" applyNumberFormat="1" applyFont="1"/>
    <xf numFmtId="166" fontId="0" fillId="0" borderId="0" xfId="42" applyNumberFormat="1" applyFont="1"/>
    <xf numFmtId="166" fontId="0" fillId="0" borderId="0" xfId="0" applyNumberFormat="1"/>
    <xf numFmtId="167" fontId="0" fillId="0" borderId="0" xfId="0" applyNumberFormat="1"/>
    <xf numFmtId="168" fontId="0" fillId="0" borderId="0" xfId="42" applyNumberFormat="1" applyFont="1"/>
    <xf numFmtId="0" fontId="18" fillId="33" borderId="0" xfId="0" applyFont="1" applyFill="1"/>
    <xf numFmtId="0" fontId="0" fillId="0" borderId="0" xfId="0" applyNumberFormat="1"/>
    <xf numFmtId="168" fontId="0" fillId="0" borderId="0" xfId="0" applyNumberForma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8">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9" formatCode="&quot;$&quot;#,##0.0_);\(&quot;$&quot;#,##0.0\)"/>
    </dxf>
    <dxf>
      <alignment horizontal="general"/>
    </dxf>
    <dxf>
      <numFmt numFmtId="168" formatCode="_(&quot;$&quot;* #,##0.0_);_(&quot;$&quot;* \(#,##0.0\);_(&quot;$&quot;* &quot;-&quot;??_);_(@_)"/>
    </dxf>
    <dxf>
      <numFmt numFmtId="164" formatCode="_(&quot;$&quot;* #,##0_);_(&quot;$&quot;* \(#,##0\);_(&quot;$&quot;* &quot;-&quot;??_);_(@_)"/>
    </dxf>
    <dxf>
      <numFmt numFmtId="164" formatCode="_(&quot;$&quot;* #,##0_);_(&quot;$&quot;* \(#,##0\);_(&quot;$&quot;* &quot;-&quot;??_);_(@_)"/>
    </dxf>
    <dxf>
      <numFmt numFmtId="1" formatCode="0"/>
    </dxf>
    <dxf>
      <numFmt numFmtId="166" formatCode="0.0"/>
    </dxf>
    <dxf>
      <numFmt numFmtId="164" formatCode="_(&quot;$&quot;* #,##0_);_(&quot;$&quot;* \(#,##0\);_(&quot;$&quot;* &quot;-&quot;??_);_(@_)"/>
    </dxf>
    <dxf>
      <numFmt numFmtId="164" formatCode="_(&quot;$&quot;* #,##0_);_(&quot;$&quot;* \(#,##0\);_(&quot;$&quot;* &quot;-&quot;??_);_(@_)"/>
    </dxf>
    <dxf>
      <numFmt numFmtId="164" formatCode="_(&quot;$&quot;* #,##0_);_(&quot;$&quot;* \(#,##0\);_(&quot;$&quot;* &quot;-&quot;??_);_(@_)"/>
    </dxf>
  </dxfs>
  <tableStyles count="2" defaultTableStyle="TableStyleMedium2" defaultPivotStyle="PivotStyleLight16">
    <tableStyle name="Slicer Style 1" pivot="0" table="0" count="0" xr9:uid="{E672F1A8-DA17-4D20-B7BA-D00981046621}"/>
    <tableStyle name="Slicer Style 2" pivot="0" table="0" count="1" xr9:uid="{7D17F086-EF7E-4D6E-BD15-75EA6DC0FF82}"/>
  </tableStyles>
  <extLst>
    <ext xmlns:x14="http://schemas.microsoft.com/office/spreadsheetml/2009/9/main" uri="{46F421CA-312F-682f-3DD2-61675219B42D}">
      <x14:dxfs count="1">
        <dxf>
          <font>
            <b val="0"/>
            <i/>
            <sz val="9"/>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[Winter_Food_and_Beverages.xlsx]Pivot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Food Items by Country</a:t>
            </a:r>
          </a:p>
        </c:rich>
      </c:tx>
      <c:layout>
        <c:manualLayout>
          <c:xMode val="edge"/>
          <c:yMode val="edge"/>
          <c:x val="0.12766545852544336"/>
          <c:y val="3.8461538461538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575771407605"/>
          <c:y val="0.25084117025681257"/>
          <c:w val="0.82284242107911054"/>
          <c:h val="0.73171548117154817"/>
        </c:manualLayout>
      </c:layout>
      <c:barChart>
        <c:barDir val="bar"/>
        <c:grouping val="clustered"/>
        <c:varyColors val="0"/>
        <c:ser>
          <c:idx val="0"/>
          <c:order val="0"/>
          <c:tx>
            <c:strRef>
              <c:f>'Pivot Table'!$B$3</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Canada</c:v>
                </c:pt>
                <c:pt idx="1">
                  <c:v>China</c:v>
                </c:pt>
                <c:pt idx="2">
                  <c:v>France</c:v>
                </c:pt>
                <c:pt idx="3">
                  <c:v>Germany</c:v>
                </c:pt>
                <c:pt idx="4">
                  <c:v>India</c:v>
                </c:pt>
                <c:pt idx="5">
                  <c:v>Italy</c:v>
                </c:pt>
                <c:pt idx="6">
                  <c:v>Japan</c:v>
                </c:pt>
                <c:pt idx="7">
                  <c:v>Switzerland</c:v>
                </c:pt>
                <c:pt idx="8">
                  <c:v>UK</c:v>
                </c:pt>
                <c:pt idx="9">
                  <c:v>USA</c:v>
                </c:pt>
              </c:strCache>
            </c:strRef>
          </c:cat>
          <c:val>
            <c:numRef>
              <c:f>'Pivot Table'!$B$4:$B$14</c:f>
              <c:numCache>
                <c:formatCode>General</c:formatCode>
                <c:ptCount val="10"/>
                <c:pt idx="0">
                  <c:v>13</c:v>
                </c:pt>
                <c:pt idx="1">
                  <c:v>15</c:v>
                </c:pt>
                <c:pt idx="2">
                  <c:v>15</c:v>
                </c:pt>
                <c:pt idx="3">
                  <c:v>11</c:v>
                </c:pt>
                <c:pt idx="4">
                  <c:v>16</c:v>
                </c:pt>
                <c:pt idx="5">
                  <c:v>19</c:v>
                </c:pt>
                <c:pt idx="6">
                  <c:v>21</c:v>
                </c:pt>
                <c:pt idx="7">
                  <c:v>12</c:v>
                </c:pt>
                <c:pt idx="8">
                  <c:v>15</c:v>
                </c:pt>
                <c:pt idx="9">
                  <c:v>13</c:v>
                </c:pt>
              </c:numCache>
            </c:numRef>
          </c:val>
          <c:extLst>
            <c:ext xmlns:c16="http://schemas.microsoft.com/office/drawing/2014/chart" uri="{C3380CC4-5D6E-409C-BE32-E72D297353CC}">
              <c16:uniqueId val="{00000000-195B-4DCE-B61B-F5B2AF1FE55D}"/>
            </c:ext>
          </c:extLst>
        </c:ser>
        <c:dLbls>
          <c:dLblPos val="outEnd"/>
          <c:showLegendKey val="0"/>
          <c:showVal val="1"/>
          <c:showCatName val="0"/>
          <c:showSerName val="0"/>
          <c:showPercent val="0"/>
          <c:showBubbleSize val="0"/>
        </c:dLbls>
        <c:gapWidth val="85"/>
        <c:axId val="1586318383"/>
        <c:axId val="1586315887"/>
      </c:barChart>
      <c:catAx>
        <c:axId val="1586318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315887"/>
        <c:crosses val="autoZero"/>
        <c:auto val="1"/>
        <c:lblAlgn val="ctr"/>
        <c:lblOffset val="100"/>
        <c:noMultiLvlLbl val="0"/>
      </c:catAx>
      <c:valAx>
        <c:axId val="1586315887"/>
        <c:scaling>
          <c:orientation val="minMax"/>
        </c:scaling>
        <c:delete val="1"/>
        <c:axPos val="t"/>
        <c:numFmt formatCode="General" sourceLinked="1"/>
        <c:majorTickMark val="none"/>
        <c:minorTickMark val="none"/>
        <c:tickLblPos val="nextTo"/>
        <c:crossAx val="158631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[Winter_Food_and_Beverages.xlsx]Pivot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Price</a:t>
            </a:r>
            <a:r>
              <a:rPr lang="en-US" b="1" baseline="0"/>
              <a:t> by Season</a:t>
            </a:r>
            <a:endParaRPr lang="en-US" b="1"/>
          </a:p>
        </c:rich>
      </c:tx>
      <c:layout>
        <c:manualLayout>
          <c:xMode val="edge"/>
          <c:yMode val="edge"/>
          <c:x val="0.18016434339922341"/>
          <c:y val="2.4132752943792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1">
                <a:lumMod val="95000"/>
                <a:lumOff val="5000"/>
              </a:schemeClr>
            </a:solidFill>
            <a:round/>
          </a:ln>
          <a:effectLst/>
        </c:spPr>
        <c:marker>
          <c:symbol val="circle"/>
          <c:size val="5"/>
          <c:spPr>
            <a:solidFill>
              <a:schemeClr val="tx1">
                <a:lumMod val="95000"/>
                <a:lumOff val="5000"/>
              </a:schemeClr>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94409856934821E-2"/>
          <c:y val="0.11230261356735183"/>
          <c:w val="0.96370559014306523"/>
          <c:h val="0.68342924504257385"/>
        </c:manualLayout>
      </c:layout>
      <c:lineChart>
        <c:grouping val="standard"/>
        <c:varyColors val="0"/>
        <c:ser>
          <c:idx val="0"/>
          <c:order val="0"/>
          <c:tx>
            <c:strRef>
              <c:f>'Pivot Table'!$K$3</c:f>
              <c:strCache>
                <c:ptCount val="1"/>
                <c:pt idx="0">
                  <c:v>Total</c:v>
                </c:pt>
              </c:strCache>
            </c:strRef>
          </c:tx>
          <c:spPr>
            <a:ln w="28575" cap="rnd">
              <a:solidFill>
                <a:schemeClr val="tx1">
                  <a:lumMod val="95000"/>
                  <a:lumOff val="5000"/>
                </a:schemeClr>
              </a:solidFill>
              <a:round/>
            </a:ln>
            <a:effectLst/>
          </c:spPr>
          <c:marker>
            <c:symbol val="circle"/>
            <c:size val="5"/>
            <c:spPr>
              <a:solidFill>
                <a:schemeClr val="tx1">
                  <a:lumMod val="95000"/>
                  <a:lumOff val="5000"/>
                </a:schemeClr>
              </a:solidFill>
              <a:ln w="9525">
                <a:solidFill>
                  <a:schemeClr val="tx1">
                    <a:lumMod val="95000"/>
                    <a:lumOff val="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Table'!$J$4:$J$7</c:f>
              <c:strCache>
                <c:ptCount val="3"/>
                <c:pt idx="0">
                  <c:v>Winter 2023</c:v>
                </c:pt>
                <c:pt idx="1">
                  <c:v>Winter 2024</c:v>
                </c:pt>
                <c:pt idx="2">
                  <c:v>Winter 2025</c:v>
                </c:pt>
              </c:strCache>
            </c:strRef>
          </c:cat>
          <c:val>
            <c:numRef>
              <c:f>'Pivot Table'!$K$4:$K$7</c:f>
              <c:numCache>
                <c:formatCode>"$"#,##0</c:formatCode>
                <c:ptCount val="3"/>
                <c:pt idx="0">
                  <c:v>362.40000000000009</c:v>
                </c:pt>
                <c:pt idx="1">
                  <c:v>425.20000000000027</c:v>
                </c:pt>
                <c:pt idx="2">
                  <c:v>529.94999999999993</c:v>
                </c:pt>
              </c:numCache>
            </c:numRef>
          </c:val>
          <c:smooth val="0"/>
          <c:extLst>
            <c:ext xmlns:c16="http://schemas.microsoft.com/office/drawing/2014/chart" uri="{C3380CC4-5D6E-409C-BE32-E72D297353CC}">
              <c16:uniqueId val="{00000000-58BC-472F-A136-851FCA03A134}"/>
            </c:ext>
          </c:extLst>
        </c:ser>
        <c:dLbls>
          <c:showLegendKey val="0"/>
          <c:showVal val="1"/>
          <c:showCatName val="0"/>
          <c:showSerName val="0"/>
          <c:showPercent val="0"/>
          <c:showBubbleSize val="0"/>
        </c:dLbls>
        <c:marker val="1"/>
        <c:smooth val="0"/>
        <c:axId val="1215222879"/>
        <c:axId val="1215223711"/>
      </c:lineChart>
      <c:catAx>
        <c:axId val="121522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223711"/>
        <c:crosses val="autoZero"/>
        <c:auto val="1"/>
        <c:lblAlgn val="ctr"/>
        <c:lblOffset val="100"/>
        <c:noMultiLvlLbl val="0"/>
      </c:catAx>
      <c:valAx>
        <c:axId val="1215223711"/>
        <c:scaling>
          <c:orientation val="minMax"/>
          <c:min val="300"/>
        </c:scaling>
        <c:delete val="1"/>
        <c:axPos val="l"/>
        <c:numFmt formatCode="&quot;$&quot;#,##0" sourceLinked="1"/>
        <c:majorTickMark val="out"/>
        <c:minorTickMark val="none"/>
        <c:tickLblPos val="nextTo"/>
        <c:crossAx val="121522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[Winter_Food_and_Beverages.xlsx]Pivot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Food Type </a:t>
            </a:r>
            <a:r>
              <a:rPr lang="en-US" b="1" baseline="0"/>
              <a:t>by Country</a:t>
            </a:r>
            <a:endParaRPr lang="en-US" b="1"/>
          </a:p>
        </c:rich>
      </c:tx>
      <c:layout>
        <c:manualLayout>
          <c:xMode val="edge"/>
          <c:yMode val="edge"/>
          <c:x val="0.3517742858750241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Table'!$N$4:$N$14</c:f>
              <c:strCache>
                <c:ptCount val="10"/>
                <c:pt idx="0">
                  <c:v>Canada</c:v>
                </c:pt>
                <c:pt idx="1">
                  <c:v>China</c:v>
                </c:pt>
                <c:pt idx="2">
                  <c:v>France</c:v>
                </c:pt>
                <c:pt idx="3">
                  <c:v>Germany</c:v>
                </c:pt>
                <c:pt idx="4">
                  <c:v>India</c:v>
                </c:pt>
                <c:pt idx="5">
                  <c:v>Italy</c:v>
                </c:pt>
                <c:pt idx="6">
                  <c:v>Japan</c:v>
                </c:pt>
                <c:pt idx="7">
                  <c:v>Switzerland</c:v>
                </c:pt>
                <c:pt idx="8">
                  <c:v>UK</c:v>
                </c:pt>
                <c:pt idx="9">
                  <c:v>USA</c:v>
                </c:pt>
              </c:strCache>
            </c:strRef>
          </c:cat>
          <c:val>
            <c:numRef>
              <c:f>'Pivot Table'!$O$4:$O$14</c:f>
              <c:numCache>
                <c:formatCode>General</c:formatCode>
                <c:ptCount val="10"/>
                <c:pt idx="0">
                  <c:v>13</c:v>
                </c:pt>
                <c:pt idx="1">
                  <c:v>15</c:v>
                </c:pt>
                <c:pt idx="2">
                  <c:v>15</c:v>
                </c:pt>
                <c:pt idx="3">
                  <c:v>11</c:v>
                </c:pt>
                <c:pt idx="4">
                  <c:v>16</c:v>
                </c:pt>
                <c:pt idx="5">
                  <c:v>19</c:v>
                </c:pt>
                <c:pt idx="6">
                  <c:v>21</c:v>
                </c:pt>
                <c:pt idx="7">
                  <c:v>12</c:v>
                </c:pt>
                <c:pt idx="8">
                  <c:v>15</c:v>
                </c:pt>
                <c:pt idx="9">
                  <c:v>13</c:v>
                </c:pt>
              </c:numCache>
            </c:numRef>
          </c:val>
          <c:extLst>
            <c:ext xmlns:c16="http://schemas.microsoft.com/office/drawing/2014/chart" uri="{C3380CC4-5D6E-409C-BE32-E72D297353CC}">
              <c16:uniqueId val="{00000002-0C08-4BA7-8FEF-040E993579EA}"/>
            </c:ext>
          </c:extLst>
        </c:ser>
        <c:dLbls>
          <c:showLegendKey val="0"/>
          <c:showVal val="1"/>
          <c:showCatName val="0"/>
          <c:showSerName val="0"/>
          <c:showPercent val="0"/>
          <c:showBubbleSize val="0"/>
        </c:dLbls>
        <c:gapWidth val="40"/>
        <c:overlap val="-10"/>
        <c:axId val="1588156223"/>
        <c:axId val="1588157887"/>
      </c:barChart>
      <c:catAx>
        <c:axId val="158815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157887"/>
        <c:crosses val="autoZero"/>
        <c:auto val="1"/>
        <c:lblAlgn val="ctr"/>
        <c:lblOffset val="100"/>
        <c:noMultiLvlLbl val="0"/>
      </c:catAx>
      <c:valAx>
        <c:axId val="1588157887"/>
        <c:scaling>
          <c:orientation val="minMax"/>
        </c:scaling>
        <c:delete val="1"/>
        <c:axPos val="l"/>
        <c:numFmt formatCode="General" sourceLinked="1"/>
        <c:majorTickMark val="none"/>
        <c:minorTickMark val="none"/>
        <c:tickLblPos val="nextTo"/>
        <c:crossAx val="1588156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[Winter_Food_and_Beverages.xlsx]Pivot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Average Popularity Score</a:t>
            </a:r>
            <a:r>
              <a:rPr lang="en-US" sz="1400" b="1" baseline="0"/>
              <a:t> by Food Item</a:t>
            </a:r>
            <a:endParaRPr lang="en-US" sz="1400" b="1"/>
          </a:p>
        </c:rich>
      </c:tx>
      <c:layout>
        <c:manualLayout>
          <c:xMode val="edge"/>
          <c:yMode val="edge"/>
          <c:x val="0.29064631834710092"/>
          <c:y val="4.1535762803518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55360106449076E-2"/>
          <c:y val="0.18803548795944236"/>
          <c:w val="0.87110616345370617"/>
          <c:h val="0.52391485284871708"/>
        </c:manualLayout>
      </c:layout>
      <c:barChart>
        <c:barDir val="col"/>
        <c:grouping val="clustered"/>
        <c:varyColors val="0"/>
        <c:ser>
          <c:idx val="0"/>
          <c:order val="0"/>
          <c:tx>
            <c:strRef>
              <c:f>'Pivot Table'!$R$19</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Table'!$Q$20:$Q$30</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'Pivot Table'!$R$20:$R$30</c:f>
              <c:numCache>
                <c:formatCode>#,##0.0</c:formatCode>
                <c:ptCount val="10"/>
                <c:pt idx="0">
                  <c:v>5.4357142857142851</c:v>
                </c:pt>
                <c:pt idx="1">
                  <c:v>4.8909090909090907</c:v>
                </c:pt>
                <c:pt idx="2">
                  <c:v>6.3437499999999991</c:v>
                </c:pt>
                <c:pt idx="3">
                  <c:v>4.953846153846154</c:v>
                </c:pt>
                <c:pt idx="4">
                  <c:v>5.5105263157894742</c:v>
                </c:pt>
                <c:pt idx="5">
                  <c:v>5.418181818181818</c:v>
                </c:pt>
                <c:pt idx="6">
                  <c:v>5.4470588235294111</c:v>
                </c:pt>
                <c:pt idx="7">
                  <c:v>5.3388888888888877</c:v>
                </c:pt>
                <c:pt idx="8">
                  <c:v>4.1923076923076925</c:v>
                </c:pt>
                <c:pt idx="9">
                  <c:v>5.3666666666666654</c:v>
                </c:pt>
              </c:numCache>
            </c:numRef>
          </c:val>
          <c:extLst>
            <c:ext xmlns:c16="http://schemas.microsoft.com/office/drawing/2014/chart" uri="{C3380CC4-5D6E-409C-BE32-E72D297353CC}">
              <c16:uniqueId val="{00000000-634E-479D-8227-8BF126020C4B}"/>
            </c:ext>
          </c:extLst>
        </c:ser>
        <c:dLbls>
          <c:showLegendKey val="0"/>
          <c:showVal val="1"/>
          <c:showCatName val="0"/>
          <c:showSerName val="0"/>
          <c:showPercent val="0"/>
          <c:showBubbleSize val="0"/>
        </c:dLbls>
        <c:gapWidth val="150"/>
        <c:axId val="954875296"/>
        <c:axId val="954872800"/>
      </c:barChart>
      <c:catAx>
        <c:axId val="954875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872800"/>
        <c:crosses val="autoZero"/>
        <c:auto val="1"/>
        <c:lblAlgn val="ctr"/>
        <c:lblOffset val="100"/>
        <c:noMultiLvlLbl val="0"/>
      </c:catAx>
      <c:valAx>
        <c:axId val="954872800"/>
        <c:scaling>
          <c:orientation val="minMax"/>
          <c:min val="3"/>
        </c:scaling>
        <c:delete val="1"/>
        <c:axPos val="l"/>
        <c:numFmt formatCode="#,##0.0" sourceLinked="1"/>
        <c:majorTickMark val="out"/>
        <c:minorTickMark val="none"/>
        <c:tickLblPos val="nextTo"/>
        <c:crossAx val="95487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[Winter_Food_and_Beverages.xlsx]Pivot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t>Total Price by Food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0D0D"/>
          </a:solidFill>
          <a:ln>
            <a:noFill/>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D0D0D"/>
          </a:solidFill>
          <a:ln>
            <a:noFill/>
          </a:ln>
          <a:effectLst>
            <a:glow>
              <a:schemeClr val="accent1"/>
            </a:glow>
          </a:effectLst>
        </c:spPr>
      </c:pivotFmt>
      <c:pivotFmt>
        <c:idx val="4"/>
        <c:spPr>
          <a:solidFill>
            <a:srgbClr val="0D0D0D"/>
          </a:solidFill>
          <a:ln>
            <a:noFill/>
          </a:ln>
          <a:effectLst>
            <a:glow>
              <a:schemeClr val="accent1"/>
            </a:glow>
          </a:effectLst>
        </c:spPr>
      </c:pivotFmt>
      <c:pivotFmt>
        <c:idx val="5"/>
        <c:spPr>
          <a:solidFill>
            <a:srgbClr val="0D0D0D"/>
          </a:solidFill>
          <a:ln>
            <a:noFill/>
          </a:ln>
          <a:effectLst>
            <a:glow>
              <a:schemeClr val="accent1"/>
            </a:glow>
          </a:effectLst>
        </c:spPr>
      </c:pivotFmt>
      <c:pivotFmt>
        <c:idx val="6"/>
        <c:spPr>
          <a:solidFill>
            <a:srgbClr val="0D0D0D"/>
          </a:solidFill>
          <a:ln>
            <a:noFill/>
          </a:ln>
          <a:effectLst>
            <a:glow>
              <a:schemeClr val="accent1"/>
            </a:glow>
          </a:effectLst>
        </c:spPr>
      </c:pivotFmt>
      <c:pivotFmt>
        <c:idx val="7"/>
        <c:spPr>
          <a:solidFill>
            <a:srgbClr val="0D0D0D"/>
          </a:solidFill>
          <a:ln>
            <a:noFill/>
          </a:ln>
          <a:effectLst>
            <a:glow>
              <a:schemeClr val="accent1"/>
            </a:glow>
          </a:effectLst>
        </c:spPr>
      </c:pivotFmt>
      <c:pivotFmt>
        <c:idx val="8"/>
        <c:spPr>
          <a:solidFill>
            <a:srgbClr val="0D0D0D"/>
          </a:solidFill>
          <a:ln>
            <a:noFill/>
          </a:ln>
          <a:effectLst>
            <a:glow>
              <a:schemeClr val="accent1"/>
            </a:glow>
          </a:effectLst>
        </c:spPr>
      </c:pivotFmt>
      <c:pivotFmt>
        <c:idx val="9"/>
        <c:spPr>
          <a:solidFill>
            <a:srgbClr val="0D0D0D"/>
          </a:solidFill>
          <a:ln>
            <a:noFill/>
          </a:ln>
          <a:effectLst>
            <a:glow>
              <a:schemeClr val="accent1"/>
            </a:glow>
          </a:effectLst>
        </c:spPr>
      </c:pivotFmt>
      <c:pivotFmt>
        <c:idx val="10"/>
        <c:spPr>
          <a:solidFill>
            <a:srgbClr val="0D0D0D"/>
          </a:solidFill>
          <a:ln>
            <a:noFill/>
          </a:ln>
          <a:effectLst>
            <a:glow>
              <a:schemeClr val="accent1"/>
            </a:glow>
          </a:effectLst>
        </c:spPr>
      </c:pivotFmt>
      <c:pivotFmt>
        <c:idx val="11"/>
        <c:spPr>
          <a:solidFill>
            <a:srgbClr val="0D0D0D"/>
          </a:solidFill>
          <a:ln>
            <a:noFill/>
          </a:ln>
          <a:effectLst>
            <a:glow>
              <a:schemeClr val="accent1"/>
            </a:glow>
          </a:effectLst>
        </c:spPr>
      </c:pivotFmt>
      <c:pivotFmt>
        <c:idx val="12"/>
        <c:spPr>
          <a:solidFill>
            <a:srgbClr val="0D0D0D"/>
          </a:solidFill>
          <a:ln>
            <a:noFill/>
          </a:ln>
          <a:effectLst>
            <a:glow>
              <a:schemeClr val="accent1"/>
            </a:glow>
          </a:effectLst>
        </c:spPr>
      </c:pivotFmt>
    </c:pivotFmts>
    <c:plotArea>
      <c:layout/>
      <c:barChart>
        <c:barDir val="bar"/>
        <c:grouping val="clustered"/>
        <c:varyColors val="1"/>
        <c:ser>
          <c:idx val="0"/>
          <c:order val="0"/>
          <c:tx>
            <c:strRef>
              <c:f>'Pivot Table'!$O$19</c:f>
              <c:strCache>
                <c:ptCount val="1"/>
                <c:pt idx="0">
                  <c:v>Total</c:v>
                </c:pt>
              </c:strCache>
            </c:strRef>
          </c:tx>
          <c:spPr>
            <a:solidFill>
              <a:srgbClr val="0D0D0D"/>
            </a:solidFill>
            <a:effectLst>
              <a:glow>
                <a:schemeClr val="accent1"/>
              </a:glow>
            </a:effectLst>
          </c:spPr>
          <c:invertIfNegative val="1"/>
          <c:dPt>
            <c:idx val="0"/>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1-E03B-4EE8-B4F7-CC517E99D287}"/>
              </c:ext>
            </c:extLst>
          </c:dPt>
          <c:dPt>
            <c:idx val="1"/>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3-E03B-4EE8-B4F7-CC517E99D287}"/>
              </c:ext>
            </c:extLst>
          </c:dPt>
          <c:dPt>
            <c:idx val="2"/>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5-E03B-4EE8-B4F7-CC517E99D287}"/>
              </c:ext>
            </c:extLst>
          </c:dPt>
          <c:dPt>
            <c:idx val="3"/>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7-E03B-4EE8-B4F7-CC517E99D287}"/>
              </c:ext>
            </c:extLst>
          </c:dPt>
          <c:dPt>
            <c:idx val="4"/>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9-E03B-4EE8-B4F7-CC517E99D287}"/>
              </c:ext>
            </c:extLst>
          </c:dPt>
          <c:dPt>
            <c:idx val="5"/>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B-E03B-4EE8-B4F7-CC517E99D287}"/>
              </c:ext>
            </c:extLst>
          </c:dPt>
          <c:dPt>
            <c:idx val="6"/>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D-E03B-4EE8-B4F7-CC517E99D287}"/>
              </c:ext>
            </c:extLst>
          </c:dPt>
          <c:dPt>
            <c:idx val="7"/>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0F-E03B-4EE8-B4F7-CC517E99D287}"/>
              </c:ext>
            </c:extLst>
          </c:dPt>
          <c:dPt>
            <c:idx val="8"/>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11-E03B-4EE8-B4F7-CC517E99D287}"/>
              </c:ext>
            </c:extLst>
          </c:dPt>
          <c:dPt>
            <c:idx val="9"/>
            <c:invertIfNegative val="1"/>
            <c:bubble3D val="0"/>
            <c:spPr>
              <a:solidFill>
                <a:srgbClr val="0D0D0D"/>
              </a:solidFill>
              <a:ln>
                <a:noFill/>
              </a:ln>
              <a:effectLst>
                <a:glow>
                  <a:schemeClr val="accent1"/>
                </a:glow>
              </a:effectLst>
            </c:spPr>
            <c:extLst>
              <c:ext xmlns:c16="http://schemas.microsoft.com/office/drawing/2014/chart" uri="{C3380CC4-5D6E-409C-BE32-E72D297353CC}">
                <c16:uniqueId val="{00000013-E03B-4EE8-B4F7-CC517E99D2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Table'!$N$20:$N$30</c:f>
              <c:strCache>
                <c:ptCount val="10"/>
                <c:pt idx="0">
                  <c:v>Cappuccino</c:v>
                </c:pt>
                <c:pt idx="1">
                  <c:v>Chai</c:v>
                </c:pt>
                <c:pt idx="2">
                  <c:v>Coffee</c:v>
                </c:pt>
                <c:pt idx="3">
                  <c:v>Green Tea</c:v>
                </c:pt>
                <c:pt idx="4">
                  <c:v>Herbal Tea</c:v>
                </c:pt>
                <c:pt idx="5">
                  <c:v>Hot Chocolate</c:v>
                </c:pt>
                <c:pt idx="6">
                  <c:v>Hot Cider</c:v>
                </c:pt>
                <c:pt idx="7">
                  <c:v>Latte</c:v>
                </c:pt>
                <c:pt idx="8">
                  <c:v>Mulled Wine</c:v>
                </c:pt>
                <c:pt idx="9">
                  <c:v>Soup</c:v>
                </c:pt>
              </c:strCache>
            </c:strRef>
          </c:cat>
          <c:val>
            <c:numRef>
              <c:f>'Pivot Table'!$O$20:$O$30</c:f>
              <c:numCache>
                <c:formatCode>"$"#,##0</c:formatCode>
                <c:ptCount val="10"/>
                <c:pt idx="0">
                  <c:v>119.14</c:v>
                </c:pt>
                <c:pt idx="1">
                  <c:v>81.570000000000007</c:v>
                </c:pt>
                <c:pt idx="2">
                  <c:v>136.53</c:v>
                </c:pt>
                <c:pt idx="3">
                  <c:v>92.72999999999999</c:v>
                </c:pt>
                <c:pt idx="4">
                  <c:v>160.84000000000003</c:v>
                </c:pt>
                <c:pt idx="5">
                  <c:v>115.83999999999999</c:v>
                </c:pt>
                <c:pt idx="6">
                  <c:v>159.44999999999999</c:v>
                </c:pt>
                <c:pt idx="7">
                  <c:v>164.07999999999998</c:v>
                </c:pt>
                <c:pt idx="8">
                  <c:v>121</c:v>
                </c:pt>
                <c:pt idx="9">
                  <c:v>166.36999999999998</c:v>
                </c:pt>
              </c:numCache>
            </c:numRef>
          </c:val>
          <c:extLst>
            <c:ext xmlns:c14="http://schemas.microsoft.com/office/drawing/2007/8/2/chart" uri="{6F2FDCE9-48DA-4B69-8628-5D25D57E5C99}">
              <c14:invertSolidFillFmt>
                <c14:spPr xmlns:c14="http://schemas.microsoft.com/office/drawing/2007/8/2/chart">
                  <a:solidFill>
                    <a:srgbClr val="FFFFFF"/>
                  </a:solidFill>
                  <a:effectLst>
                    <a:glow>
                      <a:schemeClr val="accent1"/>
                    </a:glow>
                  </a:effectLst>
                </c14:spPr>
              </c14:invertSolidFillFmt>
            </c:ext>
            <c:ext xmlns:c16="http://schemas.microsoft.com/office/drawing/2014/chart" uri="{C3380CC4-5D6E-409C-BE32-E72D297353CC}">
              <c16:uniqueId val="{00000000-0B48-4ABC-B9A8-42046AF9EC5A}"/>
            </c:ext>
          </c:extLst>
        </c:ser>
        <c:dLbls>
          <c:dLblPos val="outEnd"/>
          <c:showLegendKey val="0"/>
          <c:showVal val="1"/>
          <c:showCatName val="0"/>
          <c:showSerName val="0"/>
          <c:showPercent val="0"/>
          <c:showBubbleSize val="0"/>
        </c:dLbls>
        <c:gapWidth val="85"/>
        <c:axId val="852696160"/>
        <c:axId val="852694496"/>
      </c:barChart>
      <c:catAx>
        <c:axId val="85269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94496"/>
        <c:crosses val="autoZero"/>
        <c:auto val="1"/>
        <c:lblAlgn val="ctr"/>
        <c:lblOffset val="100"/>
        <c:noMultiLvlLbl val="0"/>
      </c:catAx>
      <c:valAx>
        <c:axId val="852694496"/>
        <c:scaling>
          <c:orientation val="minMax"/>
        </c:scaling>
        <c:delete val="1"/>
        <c:axPos val="b"/>
        <c:numFmt formatCode="&quot;$&quot;#,##0" sourceLinked="1"/>
        <c:majorTickMark val="none"/>
        <c:minorTickMark val="none"/>
        <c:tickLblPos val="nextTo"/>
        <c:crossAx val="85269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[Winter_Food_and_Beverages.xlsx]Pivot Table!PivotTable10</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Food Items by Season</a:t>
            </a:r>
          </a:p>
        </c:rich>
      </c:tx>
      <c:layout>
        <c:manualLayout>
          <c:xMode val="edge"/>
          <c:yMode val="edge"/>
          <c:x val="0.2332114255386337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1.0332458442694154E-3"/>
              <c:y val="-2.0666739574219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1.0332458442694154E-3"/>
              <c:y val="-2.0666739574219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tx1">
              <a:lumMod val="95000"/>
              <a:lumOff val="5000"/>
            </a:schemeClr>
          </a:solidFill>
          <a:ln w="19050">
            <a:solidFill>
              <a:schemeClr val="lt1"/>
            </a:solid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6"/>
          </a:solidFill>
          <a:ln w="19050">
            <a:solidFill>
              <a:schemeClr val="lt1"/>
            </a:solidFill>
          </a:ln>
          <a:effectLst/>
        </c:spPr>
        <c:dLbl>
          <c:idx val="0"/>
          <c:layout>
            <c:manualLayout>
              <c:x val="-1.0332458442694154E-3"/>
              <c:y val="-2.066673957421989E-2"/>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95000"/>
              <a:lumOff val="5000"/>
            </a:schemeClr>
          </a:solidFill>
          <a:ln w="19050">
            <a:solidFill>
              <a:schemeClr val="lt1"/>
            </a:solidFill>
          </a:ln>
          <a:effectLst/>
        </c:spPr>
      </c:pivotFmt>
    </c:pivotFmts>
    <c:plotArea>
      <c:layout>
        <c:manualLayout>
          <c:layoutTarget val="inner"/>
          <c:xMode val="edge"/>
          <c:yMode val="edge"/>
          <c:x val="8.4081764923212135E-2"/>
          <c:y val="0.20174229251406633"/>
          <c:w val="0.65792209622881781"/>
          <c:h val="0.73576754248790976"/>
        </c:manualLayout>
      </c:layout>
      <c:doughnutChart>
        <c:varyColors val="1"/>
        <c:ser>
          <c:idx val="0"/>
          <c:order val="0"/>
          <c:tx>
            <c:strRef>
              <c:f>'Pivot Table'!$K$9</c:f>
              <c:strCache>
                <c:ptCount val="1"/>
                <c:pt idx="0">
                  <c:v>Total</c:v>
                </c:pt>
              </c:strCache>
            </c:strRef>
          </c:tx>
          <c:spPr>
            <a:solidFill>
              <a:schemeClr val="tx1">
                <a:lumMod val="95000"/>
                <a:lumOff val="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D0-4E3F-B196-1BFCC777D0CF}"/>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C2D0-4E3F-B196-1BFCC777D0CF}"/>
              </c:ext>
            </c:extLst>
          </c:dPt>
          <c:dPt>
            <c:idx val="2"/>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5-C2D0-4E3F-B196-1BFCC777D0CF}"/>
              </c:ext>
            </c:extLst>
          </c:dPt>
          <c:dLbls>
            <c:dLbl>
              <c:idx val="1"/>
              <c:layout>
                <c:manualLayout>
                  <c:x val="-1.0332458442694154E-3"/>
                  <c:y val="-2.066673957421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D0-4E3F-B196-1BFCC777D0CF}"/>
                </c:ext>
              </c:extLst>
            </c:dLbl>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Table'!$J$10:$J$13</c:f>
              <c:strCache>
                <c:ptCount val="3"/>
                <c:pt idx="0">
                  <c:v>Winter 2023</c:v>
                </c:pt>
                <c:pt idx="1">
                  <c:v>Winter 2024</c:v>
                </c:pt>
                <c:pt idx="2">
                  <c:v>Winter 2025</c:v>
                </c:pt>
              </c:strCache>
            </c:strRef>
          </c:cat>
          <c:val>
            <c:numRef>
              <c:f>'Pivot Table'!$K$10:$K$13</c:f>
              <c:numCache>
                <c:formatCode>General</c:formatCode>
                <c:ptCount val="3"/>
                <c:pt idx="0">
                  <c:v>47</c:v>
                </c:pt>
                <c:pt idx="1">
                  <c:v>48</c:v>
                </c:pt>
                <c:pt idx="2">
                  <c:v>55</c:v>
                </c:pt>
              </c:numCache>
            </c:numRef>
          </c:val>
          <c:extLst>
            <c:ext xmlns:c16="http://schemas.microsoft.com/office/drawing/2014/chart" uri="{C3380CC4-5D6E-409C-BE32-E72D297353CC}">
              <c16:uniqueId val="{00000006-C2D0-4E3F-B196-1BFCC777D0C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3689336533486094"/>
          <c:y val="0.12500080643509964"/>
          <c:w val="0.22806681794570355"/>
          <c:h val="0.611387761204328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126999</xdr:colOff>
      <xdr:row>21</xdr:row>
      <xdr:rowOff>137585</xdr:rowOff>
    </xdr:from>
    <xdr:to>
      <xdr:col>14</xdr:col>
      <xdr:colOff>295275</xdr:colOff>
      <xdr:row>34</xdr:row>
      <xdr:rowOff>31751</xdr:rowOff>
    </xdr:to>
    <xdr:sp macro="" textlink="">
      <xdr:nvSpPr>
        <xdr:cNvPr id="15" name="Rectangle: Rounded Corners 14">
          <a:extLst>
            <a:ext uri="{FF2B5EF4-FFF2-40B4-BE49-F238E27FC236}">
              <a16:creationId xmlns:a16="http://schemas.microsoft.com/office/drawing/2014/main" id="{95F70475-FEE5-4CFC-BE59-84C787B56255}"/>
            </a:ext>
          </a:extLst>
        </xdr:cNvPr>
        <xdr:cNvSpPr/>
      </xdr:nvSpPr>
      <xdr:spPr>
        <a:xfrm>
          <a:off x="2565399" y="4138085"/>
          <a:ext cx="6264276" cy="2370666"/>
        </a:xfrm>
        <a:prstGeom prst="roundRect">
          <a:avLst/>
        </a:prstGeom>
        <a:solidFill>
          <a:schemeClr val="bg1">
            <a:lumMod val="8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2">
                  <a:lumMod val="75000"/>
                </a:schemeClr>
              </a:solidFill>
            </a:ln>
          </a:endParaRPr>
        </a:p>
      </xdr:txBody>
    </xdr:sp>
    <xdr:clientData/>
  </xdr:twoCellAnchor>
  <xdr:twoCellAnchor>
    <xdr:from>
      <xdr:col>14</xdr:col>
      <xdr:colOff>544285</xdr:colOff>
      <xdr:row>8</xdr:row>
      <xdr:rowOff>95249</xdr:rowOff>
    </xdr:from>
    <xdr:to>
      <xdr:col>20</xdr:col>
      <xdr:colOff>462643</xdr:colOff>
      <xdr:row>25</xdr:row>
      <xdr:rowOff>108856</xdr:rowOff>
    </xdr:to>
    <xdr:sp macro="" textlink="">
      <xdr:nvSpPr>
        <xdr:cNvPr id="14" name="Rectangle: Rounded Corners 13">
          <a:extLst>
            <a:ext uri="{FF2B5EF4-FFF2-40B4-BE49-F238E27FC236}">
              <a16:creationId xmlns:a16="http://schemas.microsoft.com/office/drawing/2014/main" id="{5F28FB45-2BC0-43EC-B982-8CEF334D8DE3}"/>
            </a:ext>
          </a:extLst>
        </xdr:cNvPr>
        <xdr:cNvSpPr/>
      </xdr:nvSpPr>
      <xdr:spPr>
        <a:xfrm>
          <a:off x="8504464" y="1428749"/>
          <a:ext cx="3592286" cy="3252107"/>
        </a:xfrm>
        <a:prstGeom prst="roundRect">
          <a:avLst/>
        </a:prstGeom>
        <a:solidFill>
          <a:schemeClr val="bg1">
            <a:lumMod val="8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2">
                  <a:lumMod val="75000"/>
                </a:schemeClr>
              </a:solidFill>
            </a:ln>
          </a:endParaRPr>
        </a:p>
      </xdr:txBody>
    </xdr:sp>
    <xdr:clientData/>
  </xdr:twoCellAnchor>
  <xdr:twoCellAnchor>
    <xdr:from>
      <xdr:col>4</xdr:col>
      <xdr:colOff>116417</xdr:colOff>
      <xdr:row>8</xdr:row>
      <xdr:rowOff>104775</xdr:rowOff>
    </xdr:from>
    <xdr:to>
      <xdr:col>9</xdr:col>
      <xdr:colOff>95250</xdr:colOff>
      <xdr:row>20</xdr:row>
      <xdr:rowOff>7408</xdr:rowOff>
    </xdr:to>
    <xdr:sp macro="" textlink="">
      <xdr:nvSpPr>
        <xdr:cNvPr id="5" name="Rectangle: Rounded Corners 4">
          <a:extLst>
            <a:ext uri="{FF2B5EF4-FFF2-40B4-BE49-F238E27FC236}">
              <a16:creationId xmlns:a16="http://schemas.microsoft.com/office/drawing/2014/main" id="{7C4BCF52-24E4-4CAB-A98A-4366F37F9814}"/>
            </a:ext>
          </a:extLst>
        </xdr:cNvPr>
        <xdr:cNvSpPr/>
      </xdr:nvSpPr>
      <xdr:spPr>
        <a:xfrm>
          <a:off x="1953381" y="1465489"/>
          <a:ext cx="3040440" cy="2235286"/>
        </a:xfrm>
        <a:prstGeom prst="roundRect">
          <a:avLst/>
        </a:prstGeom>
        <a:solidFill>
          <a:schemeClr val="bg1">
            <a:lumMod val="8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2">
                  <a:lumMod val="75000"/>
                </a:schemeClr>
              </a:solidFill>
            </a:ln>
          </a:endParaRPr>
        </a:p>
      </xdr:txBody>
    </xdr:sp>
    <xdr:clientData/>
  </xdr:twoCellAnchor>
  <xdr:twoCellAnchor>
    <xdr:from>
      <xdr:col>4</xdr:col>
      <xdr:colOff>247650</xdr:colOff>
      <xdr:row>8</xdr:row>
      <xdr:rowOff>180975</xdr:rowOff>
    </xdr:from>
    <xdr:to>
      <xdr:col>9</xdr:col>
      <xdr:colOff>104776</xdr:colOff>
      <xdr:row>19</xdr:row>
      <xdr:rowOff>66675</xdr:rowOff>
    </xdr:to>
    <xdr:graphicFrame macro="">
      <xdr:nvGraphicFramePr>
        <xdr:cNvPr id="2" name="Chart 1">
          <a:extLst>
            <a:ext uri="{FF2B5EF4-FFF2-40B4-BE49-F238E27FC236}">
              <a16:creationId xmlns:a16="http://schemas.microsoft.com/office/drawing/2014/main" id="{CFF5A587-219F-4FD3-B3BB-E987D5897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224518</xdr:colOff>
      <xdr:row>8</xdr:row>
      <xdr:rowOff>141516</xdr:rowOff>
    </xdr:from>
    <xdr:to>
      <xdr:col>20</xdr:col>
      <xdr:colOff>262617</xdr:colOff>
      <xdr:row>24</xdr:row>
      <xdr:rowOff>55789</xdr:rowOff>
    </xdr:to>
    <xdr:graphicFrame macro="">
      <xdr:nvGraphicFramePr>
        <xdr:cNvPr id="3" name="Chart 2">
          <a:extLst>
            <a:ext uri="{FF2B5EF4-FFF2-40B4-BE49-F238E27FC236}">
              <a16:creationId xmlns:a16="http://schemas.microsoft.com/office/drawing/2014/main" id="{F6072EE9-D892-40ED-864A-286FB859E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338667</xdr:colOff>
      <xdr:row>22</xdr:row>
      <xdr:rowOff>21168</xdr:rowOff>
    </xdr:from>
    <xdr:to>
      <xdr:col>13</xdr:col>
      <xdr:colOff>238124</xdr:colOff>
      <xdr:row>34</xdr:row>
      <xdr:rowOff>85726</xdr:rowOff>
    </xdr:to>
    <xdr:graphicFrame macro="">
      <xdr:nvGraphicFramePr>
        <xdr:cNvPr id="4" name="Chart 3">
          <a:extLst>
            <a:ext uri="{FF2B5EF4-FFF2-40B4-BE49-F238E27FC236}">
              <a16:creationId xmlns:a16="http://schemas.microsoft.com/office/drawing/2014/main" id="{740175A0-F318-47BB-80B2-6625C4148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380999</xdr:colOff>
      <xdr:row>5</xdr:row>
      <xdr:rowOff>56318</xdr:rowOff>
    </xdr:from>
    <xdr:to>
      <xdr:col>6</xdr:col>
      <xdr:colOff>591154</xdr:colOff>
      <xdr:row>7</xdr:row>
      <xdr:rowOff>77485</xdr:rowOff>
    </xdr:to>
    <xdr:sp macro="" textlink="'Pivot Table'!D6">
      <xdr:nvSpPr>
        <xdr:cNvPr id="7" name="TextBox 6">
          <a:extLst>
            <a:ext uri="{FF2B5EF4-FFF2-40B4-BE49-F238E27FC236}">
              <a16:creationId xmlns:a16="http://schemas.microsoft.com/office/drawing/2014/main" id="{81F64285-8C19-4AD1-B908-0E038E1D19D3}"/>
            </a:ext>
          </a:extLst>
        </xdr:cNvPr>
        <xdr:cNvSpPr txBox="1"/>
      </xdr:nvSpPr>
      <xdr:spPr>
        <a:xfrm>
          <a:off x="2830285" y="818318"/>
          <a:ext cx="822476" cy="402167"/>
        </a:xfrm>
        <a:prstGeom prst="roundRect">
          <a:avLst>
            <a:gd name="adj" fmla="val 10953"/>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43FADA-DD7B-43A0-B622-B90C8AD262F7}" type="TxLink">
            <a:rPr lang="en-US" sz="1800" b="0" i="0" u="none" strike="noStrike">
              <a:solidFill>
                <a:srgbClr val="000000"/>
              </a:solidFill>
              <a:latin typeface="Calibri"/>
              <a:ea typeface="Calibri"/>
              <a:cs typeface="Calibri"/>
            </a:rPr>
            <a:pPr algn="ctr"/>
            <a:t>150</a:t>
          </a:fld>
          <a:endParaRPr lang="en-US" sz="1800"/>
        </a:p>
      </xdr:txBody>
    </xdr:sp>
    <xdr:clientData/>
  </xdr:twoCellAnchor>
  <xdr:twoCellAnchor>
    <xdr:from>
      <xdr:col>9</xdr:col>
      <xdr:colOff>151644</xdr:colOff>
      <xdr:row>5</xdr:row>
      <xdr:rowOff>61610</xdr:rowOff>
    </xdr:from>
    <xdr:to>
      <xdr:col>10</xdr:col>
      <xdr:colOff>446465</xdr:colOff>
      <xdr:row>7</xdr:row>
      <xdr:rowOff>72193</xdr:rowOff>
    </xdr:to>
    <xdr:sp macro="" textlink="'Pivot Table'!F6">
      <xdr:nvSpPr>
        <xdr:cNvPr id="10" name="TextBox 9">
          <a:extLst>
            <a:ext uri="{FF2B5EF4-FFF2-40B4-BE49-F238E27FC236}">
              <a16:creationId xmlns:a16="http://schemas.microsoft.com/office/drawing/2014/main" id="{576BBD46-83D1-4765-9F26-0BE3807F96B8}"/>
            </a:ext>
          </a:extLst>
        </xdr:cNvPr>
        <xdr:cNvSpPr txBox="1"/>
      </xdr:nvSpPr>
      <xdr:spPr>
        <a:xfrm>
          <a:off x="5050215" y="823610"/>
          <a:ext cx="907143" cy="391583"/>
        </a:xfrm>
        <a:prstGeom prst="roundRect">
          <a:avLst>
            <a:gd name="adj" fmla="val 10953"/>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D80298-3729-4779-BE04-49318BF167F7}" type="TxLink">
            <a:rPr lang="en-US" sz="1800" b="0" i="0" u="none" strike="noStrike">
              <a:solidFill>
                <a:srgbClr val="000000"/>
              </a:solidFill>
              <a:latin typeface="Calibri"/>
              <a:ea typeface="Calibri"/>
              <a:cs typeface="Calibri"/>
            </a:rPr>
            <a:pPr algn="ctr"/>
            <a:t> $1,318 </a:t>
          </a:fld>
          <a:endParaRPr lang="en-US" sz="3200"/>
        </a:p>
      </xdr:txBody>
    </xdr:sp>
    <xdr:clientData/>
  </xdr:twoCellAnchor>
  <xdr:twoCellAnchor>
    <xdr:from>
      <xdr:col>12</xdr:col>
      <xdr:colOff>547157</xdr:colOff>
      <xdr:row>5</xdr:row>
      <xdr:rowOff>37268</xdr:rowOff>
    </xdr:from>
    <xdr:to>
      <xdr:col>14</xdr:col>
      <xdr:colOff>149224</xdr:colOff>
      <xdr:row>7</xdr:row>
      <xdr:rowOff>58435</xdr:rowOff>
    </xdr:to>
    <xdr:sp macro="" textlink="'Pivot Table'!H6">
      <xdr:nvSpPr>
        <xdr:cNvPr id="11" name="TextBox 10">
          <a:extLst>
            <a:ext uri="{FF2B5EF4-FFF2-40B4-BE49-F238E27FC236}">
              <a16:creationId xmlns:a16="http://schemas.microsoft.com/office/drawing/2014/main" id="{9035C4FB-4DC0-4F5E-9CF9-769F3F877D5F}"/>
            </a:ext>
          </a:extLst>
        </xdr:cNvPr>
        <xdr:cNvSpPr txBox="1"/>
      </xdr:nvSpPr>
      <xdr:spPr>
        <a:xfrm>
          <a:off x="7282693" y="799268"/>
          <a:ext cx="826710" cy="402167"/>
        </a:xfrm>
        <a:prstGeom prst="roundRect">
          <a:avLst>
            <a:gd name="adj" fmla="val 10953"/>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8C7AB0-719B-470B-993E-AF8D4DE4DC97}" type="TxLink">
            <a:rPr lang="en-US" sz="1800" b="0" i="0" u="none" strike="noStrike">
              <a:solidFill>
                <a:srgbClr val="000000"/>
              </a:solidFill>
              <a:latin typeface="Calibri"/>
              <a:ea typeface="Calibri"/>
              <a:cs typeface="Calibri"/>
            </a:rPr>
            <a:pPr algn="ctr"/>
            <a:t>5.3</a:t>
          </a:fld>
          <a:endParaRPr lang="en-US" sz="4800"/>
        </a:p>
      </xdr:txBody>
    </xdr:sp>
    <xdr:clientData/>
  </xdr:twoCellAnchor>
  <xdr:twoCellAnchor editAs="oneCell">
    <xdr:from>
      <xdr:col>1</xdr:col>
      <xdr:colOff>94038</xdr:colOff>
      <xdr:row>20</xdr:row>
      <xdr:rowOff>102509</xdr:rowOff>
    </xdr:from>
    <xdr:to>
      <xdr:col>3</xdr:col>
      <xdr:colOff>598713</xdr:colOff>
      <xdr:row>29</xdr:row>
      <xdr:rowOff>3024</xdr:rowOff>
    </xdr:to>
    <mc:AlternateContent xmlns:mc="http://schemas.openxmlformats.org/markup-compatibility/2006" xmlns:a14="http://schemas.microsoft.com/office/drawing/2010/main">
      <mc:Choice Requires="a14">
        <xdr:graphicFrame macro="">
          <xdr:nvGraphicFramePr>
            <xdr:cNvPr id="8" name="Type">
              <a:extLst>
                <a:ext uri="{FF2B5EF4-FFF2-40B4-BE49-F238E27FC236}">
                  <a16:creationId xmlns:a16="http://schemas.microsoft.com/office/drawing/2014/main" id="{52BD1F12-EB5A-45F6-A11C-DCBEF8B5B31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03638" y="3912509"/>
              <a:ext cx="1723875" cy="1615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66673</xdr:colOff>
      <xdr:row>9</xdr:row>
      <xdr:rowOff>105530</xdr:rowOff>
    </xdr:from>
    <xdr:to>
      <xdr:col>3</xdr:col>
      <xdr:colOff>571500</xdr:colOff>
      <xdr:row>18</xdr:row>
      <xdr:rowOff>95250</xdr:rowOff>
    </xdr:to>
    <mc:AlternateContent xmlns:mc="http://schemas.openxmlformats.org/markup-compatibility/2006" xmlns:a14="http://schemas.microsoft.com/office/drawing/2010/main">
      <mc:Choice Requires="a14">
        <xdr:graphicFrame macro="">
          <xdr:nvGraphicFramePr>
            <xdr:cNvPr id="9" name="Season">
              <a:extLst>
                <a:ext uri="{FF2B5EF4-FFF2-40B4-BE49-F238E27FC236}">
                  <a16:creationId xmlns:a16="http://schemas.microsoft.com/office/drawing/2014/main" id="{81A81CAD-162D-4BB2-B530-E00E9755C49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76273" y="1820030"/>
              <a:ext cx="1724027" cy="1704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536726</xdr:colOff>
      <xdr:row>3</xdr:row>
      <xdr:rowOff>169335</xdr:rowOff>
    </xdr:from>
    <xdr:ext cx="1839863" cy="342786"/>
    <xdr:sp macro="" textlink="">
      <xdr:nvSpPr>
        <xdr:cNvPr id="6" name="TextBox 5">
          <a:extLst>
            <a:ext uri="{FF2B5EF4-FFF2-40B4-BE49-F238E27FC236}">
              <a16:creationId xmlns:a16="http://schemas.microsoft.com/office/drawing/2014/main" id="{D782AEA4-D3F8-43EA-937C-C11354F6041B}"/>
            </a:ext>
          </a:extLst>
        </xdr:cNvPr>
        <xdr:cNvSpPr txBox="1"/>
      </xdr:nvSpPr>
      <xdr:spPr>
        <a:xfrm>
          <a:off x="2373690" y="550335"/>
          <a:ext cx="183986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Total Count</a:t>
          </a:r>
          <a:r>
            <a:rPr lang="en-US" sz="1600" b="1" baseline="0"/>
            <a:t> of Item</a:t>
          </a:r>
          <a:endParaRPr lang="en-US" sz="1600" b="1"/>
        </a:p>
      </xdr:txBody>
    </xdr:sp>
    <xdr:clientData/>
  </xdr:oneCellAnchor>
  <xdr:oneCellAnchor>
    <xdr:from>
      <xdr:col>9</xdr:col>
      <xdr:colOff>79980</xdr:colOff>
      <xdr:row>4</xdr:row>
      <xdr:rowOff>6048</xdr:rowOff>
    </xdr:from>
    <xdr:ext cx="1087414" cy="342786"/>
    <xdr:sp macro="" textlink="">
      <xdr:nvSpPr>
        <xdr:cNvPr id="12" name="TextBox 11">
          <a:extLst>
            <a:ext uri="{FF2B5EF4-FFF2-40B4-BE49-F238E27FC236}">
              <a16:creationId xmlns:a16="http://schemas.microsoft.com/office/drawing/2014/main" id="{F25FB102-18C5-4319-A8FB-C57451EB1D13}"/>
            </a:ext>
          </a:extLst>
        </xdr:cNvPr>
        <xdr:cNvSpPr txBox="1"/>
      </xdr:nvSpPr>
      <xdr:spPr>
        <a:xfrm>
          <a:off x="4978551" y="577548"/>
          <a:ext cx="108741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Total Price</a:t>
          </a:r>
        </a:p>
      </xdr:txBody>
    </xdr:sp>
    <xdr:clientData/>
  </xdr:oneCellAnchor>
  <xdr:oneCellAnchor>
    <xdr:from>
      <xdr:col>12</xdr:col>
      <xdr:colOff>376616</xdr:colOff>
      <xdr:row>3</xdr:row>
      <xdr:rowOff>142119</xdr:rowOff>
    </xdr:from>
    <xdr:ext cx="1233286" cy="374141"/>
    <xdr:sp macro="" textlink="">
      <xdr:nvSpPr>
        <xdr:cNvPr id="13" name="TextBox 12">
          <a:extLst>
            <a:ext uri="{FF2B5EF4-FFF2-40B4-BE49-F238E27FC236}">
              <a16:creationId xmlns:a16="http://schemas.microsoft.com/office/drawing/2014/main" id="{1F160346-A538-4C36-B175-F7B6F03E3818}"/>
            </a:ext>
          </a:extLst>
        </xdr:cNvPr>
        <xdr:cNvSpPr txBox="1"/>
      </xdr:nvSpPr>
      <xdr:spPr>
        <a:xfrm>
          <a:off x="7112152" y="523119"/>
          <a:ext cx="12332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Avg P </a:t>
          </a:r>
          <a:r>
            <a:rPr lang="en-US" sz="1800" b="1">
              <a:latin typeface="+mn-lt"/>
            </a:rPr>
            <a:t>Score</a:t>
          </a:r>
          <a:endParaRPr lang="en-US" sz="1600" b="1">
            <a:latin typeface="+mn-lt"/>
          </a:endParaRPr>
        </a:p>
      </xdr:txBody>
    </xdr:sp>
    <xdr:clientData/>
  </xdr:oneCellAnchor>
  <xdr:twoCellAnchor>
    <xdr:from>
      <xdr:col>3</xdr:col>
      <xdr:colOff>274864</xdr:colOff>
      <xdr:row>0</xdr:row>
      <xdr:rowOff>0</xdr:rowOff>
    </xdr:from>
    <xdr:to>
      <xdr:col>20</xdr:col>
      <xdr:colOff>111579</xdr:colOff>
      <xdr:row>3</xdr:row>
      <xdr:rowOff>98880</xdr:rowOff>
    </xdr:to>
    <xdr:sp macro="" textlink="">
      <xdr:nvSpPr>
        <xdr:cNvPr id="16" name="TextBox 15">
          <a:extLst>
            <a:ext uri="{FF2B5EF4-FFF2-40B4-BE49-F238E27FC236}">
              <a16:creationId xmlns:a16="http://schemas.microsoft.com/office/drawing/2014/main" id="{235BB999-2525-4398-B07D-5BBDC1C844F4}"/>
            </a:ext>
          </a:extLst>
        </xdr:cNvPr>
        <xdr:cNvSpPr txBox="1"/>
      </xdr:nvSpPr>
      <xdr:spPr>
        <a:xfrm>
          <a:off x="2103664" y="0"/>
          <a:ext cx="10199915" cy="670380"/>
        </a:xfrm>
        <a:prstGeom prst="roundRect">
          <a:avLst>
            <a:gd name="adj" fmla="val 10953"/>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rgbClr val="000000"/>
              </a:solidFill>
              <a:latin typeface="Calibri"/>
              <a:ea typeface="Calibri"/>
              <a:cs typeface="Calibri"/>
            </a:rPr>
            <a:t>WINTER</a:t>
          </a:r>
          <a:r>
            <a:rPr lang="en-US" sz="3200" b="1" i="0" u="none" strike="noStrike" baseline="0">
              <a:solidFill>
                <a:srgbClr val="000000"/>
              </a:solidFill>
              <a:latin typeface="Calibri"/>
              <a:ea typeface="Calibri"/>
              <a:cs typeface="Calibri"/>
            </a:rPr>
            <a:t> AND FOOD BEVERAGES REPORT</a:t>
          </a:r>
          <a:endParaRPr lang="en-US" sz="3200" b="1" i="0" u="none" strike="noStrike">
            <a:solidFill>
              <a:srgbClr val="000000"/>
            </a:solidFill>
            <a:latin typeface="Calibri"/>
            <a:ea typeface="Calibri"/>
            <a:cs typeface="Calibri"/>
          </a:endParaRPr>
        </a:p>
      </xdr:txBody>
    </xdr:sp>
    <xdr:clientData/>
  </xdr:twoCellAnchor>
  <xdr:twoCellAnchor editAs="oneCell">
    <xdr:from>
      <xdr:col>1</xdr:col>
      <xdr:colOff>29936</xdr:colOff>
      <xdr:row>0</xdr:row>
      <xdr:rowOff>63500</xdr:rowOff>
    </xdr:from>
    <xdr:to>
      <xdr:col>3</xdr:col>
      <xdr:colOff>558800</xdr:colOff>
      <xdr:row>8</xdr:row>
      <xdr:rowOff>152400</xdr:rowOff>
    </xdr:to>
    <xdr:pic>
      <xdr:nvPicPr>
        <xdr:cNvPr id="18" name="Picture 17">
          <a:extLst>
            <a:ext uri="{FF2B5EF4-FFF2-40B4-BE49-F238E27FC236}">
              <a16:creationId xmlns:a16="http://schemas.microsoft.com/office/drawing/2014/main" id="{0F156F5B-1039-46C9-AC18-E18D57F5C2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936" y="63500"/>
          <a:ext cx="1748064" cy="1612900"/>
        </a:xfrm>
        <a:prstGeom prst="rect">
          <a:avLst/>
        </a:prstGeom>
      </xdr:spPr>
    </xdr:pic>
    <xdr:clientData/>
  </xdr:twoCellAnchor>
  <xdr:twoCellAnchor>
    <xdr:from>
      <xdr:col>4</xdr:col>
      <xdr:colOff>116417</xdr:colOff>
      <xdr:row>34</xdr:row>
      <xdr:rowOff>171450</xdr:rowOff>
    </xdr:from>
    <xdr:to>
      <xdr:col>14</xdr:col>
      <xdr:colOff>295275</xdr:colOff>
      <xdr:row>46</xdr:row>
      <xdr:rowOff>74083</xdr:rowOff>
    </xdr:to>
    <xdr:sp macro="" textlink="">
      <xdr:nvSpPr>
        <xdr:cNvPr id="31" name="Rectangle: Rounded Corners 30">
          <a:extLst>
            <a:ext uri="{FF2B5EF4-FFF2-40B4-BE49-F238E27FC236}">
              <a16:creationId xmlns:a16="http://schemas.microsoft.com/office/drawing/2014/main" id="{DB54EFE8-7024-4578-AD40-4E422FFE2607}"/>
            </a:ext>
          </a:extLst>
        </xdr:cNvPr>
        <xdr:cNvSpPr/>
      </xdr:nvSpPr>
      <xdr:spPr>
        <a:xfrm>
          <a:off x="2554817" y="6648450"/>
          <a:ext cx="6274858" cy="2188633"/>
        </a:xfrm>
        <a:prstGeom prst="roundRect">
          <a:avLst/>
        </a:prstGeom>
        <a:solidFill>
          <a:schemeClr val="bg1">
            <a:lumMod val="8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2">
                  <a:lumMod val="75000"/>
                </a:schemeClr>
              </a:solidFill>
            </a:ln>
          </a:endParaRPr>
        </a:p>
      </xdr:txBody>
    </xdr:sp>
    <xdr:clientData/>
  </xdr:twoCellAnchor>
  <xdr:twoCellAnchor>
    <xdr:from>
      <xdr:col>4</xdr:col>
      <xdr:colOff>257174</xdr:colOff>
      <xdr:row>35</xdr:row>
      <xdr:rowOff>133350</xdr:rowOff>
    </xdr:from>
    <xdr:to>
      <xdr:col>13</xdr:col>
      <xdr:colOff>485775</xdr:colOff>
      <xdr:row>45</xdr:row>
      <xdr:rowOff>123825</xdr:rowOff>
    </xdr:to>
    <xdr:graphicFrame macro="">
      <xdr:nvGraphicFramePr>
        <xdr:cNvPr id="27" name="Chart 26">
          <a:extLst>
            <a:ext uri="{FF2B5EF4-FFF2-40B4-BE49-F238E27FC236}">
              <a16:creationId xmlns:a16="http://schemas.microsoft.com/office/drawing/2014/main" id="{253098BA-20DE-46DE-9050-33A81EA4B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316442</xdr:colOff>
      <xdr:row>8</xdr:row>
      <xdr:rowOff>104775</xdr:rowOff>
    </xdr:from>
    <xdr:to>
      <xdr:col>14</xdr:col>
      <xdr:colOff>295275</xdr:colOff>
      <xdr:row>20</xdr:row>
      <xdr:rowOff>7408</xdr:rowOff>
    </xdr:to>
    <xdr:sp macro="" textlink="">
      <xdr:nvSpPr>
        <xdr:cNvPr id="36" name="Rectangle: Rounded Corners 35">
          <a:extLst>
            <a:ext uri="{FF2B5EF4-FFF2-40B4-BE49-F238E27FC236}">
              <a16:creationId xmlns:a16="http://schemas.microsoft.com/office/drawing/2014/main" id="{5F28D6C2-D281-4E13-8ADE-2CD5D4C8938B}"/>
            </a:ext>
          </a:extLst>
        </xdr:cNvPr>
        <xdr:cNvSpPr/>
      </xdr:nvSpPr>
      <xdr:spPr>
        <a:xfrm>
          <a:off x="5802842" y="1628775"/>
          <a:ext cx="3026833" cy="2188633"/>
        </a:xfrm>
        <a:prstGeom prst="roundRect">
          <a:avLst/>
        </a:prstGeom>
        <a:solidFill>
          <a:schemeClr val="bg1">
            <a:lumMod val="8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2">
                  <a:lumMod val="75000"/>
                </a:schemeClr>
              </a:solidFill>
            </a:ln>
          </a:endParaRPr>
        </a:p>
      </xdr:txBody>
    </xdr:sp>
    <xdr:clientData/>
  </xdr:twoCellAnchor>
  <xdr:twoCellAnchor>
    <xdr:from>
      <xdr:col>9</xdr:col>
      <xdr:colOff>352425</xdr:colOff>
      <xdr:row>8</xdr:row>
      <xdr:rowOff>104775</xdr:rowOff>
    </xdr:from>
    <xdr:to>
      <xdr:col>14</xdr:col>
      <xdr:colOff>180974</xdr:colOff>
      <xdr:row>19</xdr:row>
      <xdr:rowOff>152400</xdr:rowOff>
    </xdr:to>
    <xdr:graphicFrame macro="">
      <xdr:nvGraphicFramePr>
        <xdr:cNvPr id="35" name="Chart 34">
          <a:extLst>
            <a:ext uri="{FF2B5EF4-FFF2-40B4-BE49-F238E27FC236}">
              <a16:creationId xmlns:a16="http://schemas.microsoft.com/office/drawing/2014/main" id="{C7FAC2E4-DCF4-4C2D-9638-A8FC28D39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420460</xdr:colOff>
      <xdr:row>26</xdr:row>
      <xdr:rowOff>29934</xdr:rowOff>
    </xdr:from>
    <xdr:to>
      <xdr:col>20</xdr:col>
      <xdr:colOff>489857</xdr:colOff>
      <xdr:row>47</xdr:row>
      <xdr:rowOff>0</xdr:rowOff>
    </xdr:to>
    <xdr:sp macro="" textlink="">
      <xdr:nvSpPr>
        <xdr:cNvPr id="40" name="Rectangle: Rounded Corners 39">
          <a:extLst>
            <a:ext uri="{FF2B5EF4-FFF2-40B4-BE49-F238E27FC236}">
              <a16:creationId xmlns:a16="http://schemas.microsoft.com/office/drawing/2014/main" id="{6B054DD5-B391-4020-9CCE-C494449C5465}"/>
            </a:ext>
          </a:extLst>
        </xdr:cNvPr>
        <xdr:cNvSpPr/>
      </xdr:nvSpPr>
      <xdr:spPr>
        <a:xfrm>
          <a:off x="8954860" y="4982934"/>
          <a:ext cx="3726997" cy="3970566"/>
        </a:xfrm>
        <a:prstGeom prst="roundRect">
          <a:avLst/>
        </a:prstGeom>
        <a:solidFill>
          <a:schemeClr val="bg1">
            <a:lumMod val="85000"/>
          </a:schemeClr>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2">
                  <a:lumMod val="75000"/>
                </a:schemeClr>
              </a:solidFill>
            </a:ln>
          </a:endParaRPr>
        </a:p>
      </xdr:txBody>
    </xdr:sp>
    <xdr:clientData/>
  </xdr:twoCellAnchor>
  <xdr:twoCellAnchor>
    <xdr:from>
      <xdr:col>14</xdr:col>
      <xdr:colOff>299356</xdr:colOff>
      <xdr:row>27</xdr:row>
      <xdr:rowOff>13606</xdr:rowOff>
    </xdr:from>
    <xdr:to>
      <xdr:col>21</xdr:col>
      <xdr:colOff>0</xdr:colOff>
      <xdr:row>45</xdr:row>
      <xdr:rowOff>149679</xdr:rowOff>
    </xdr:to>
    <xdr:graphicFrame macro="">
      <xdr:nvGraphicFramePr>
        <xdr:cNvPr id="37" name="Chart 36">
          <a:extLst>
            <a:ext uri="{FF2B5EF4-FFF2-40B4-BE49-F238E27FC236}">
              <a16:creationId xmlns:a16="http://schemas.microsoft.com/office/drawing/2014/main" id="{231A8408-427E-4686-8784-5ADEFAAC5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40821</xdr:colOff>
      <xdr:row>30</xdr:row>
      <xdr:rowOff>27214</xdr:rowOff>
    </xdr:from>
    <xdr:to>
      <xdr:col>3</xdr:col>
      <xdr:colOff>585106</xdr:colOff>
      <xdr:row>46</xdr:row>
      <xdr:rowOff>81644</xdr:rowOff>
    </xdr:to>
    <mc:AlternateContent xmlns:mc="http://schemas.openxmlformats.org/markup-compatibility/2006" xmlns:a14="http://schemas.microsoft.com/office/drawing/2010/main">
      <mc:Choice Requires="a14">
        <xdr:graphicFrame macro="">
          <xdr:nvGraphicFramePr>
            <xdr:cNvPr id="41" name="Item 1">
              <a:extLst>
                <a:ext uri="{FF2B5EF4-FFF2-40B4-BE49-F238E27FC236}">
                  <a16:creationId xmlns:a16="http://schemas.microsoft.com/office/drawing/2014/main" id="{8FF05BB9-C2CF-417A-B21D-548181D77C1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650421" y="5742214"/>
              <a:ext cx="1763485" cy="3102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587979</xdr:colOff>
      <xdr:row>5</xdr:row>
      <xdr:rowOff>37268</xdr:rowOff>
    </xdr:from>
    <xdr:to>
      <xdr:col>18</xdr:col>
      <xdr:colOff>190046</xdr:colOff>
      <xdr:row>7</xdr:row>
      <xdr:rowOff>58435</xdr:rowOff>
    </xdr:to>
    <xdr:sp macro="" textlink="'Pivot Table'!F12">
      <xdr:nvSpPr>
        <xdr:cNvPr id="43" name="TextBox 42">
          <a:extLst>
            <a:ext uri="{FF2B5EF4-FFF2-40B4-BE49-F238E27FC236}">
              <a16:creationId xmlns:a16="http://schemas.microsoft.com/office/drawing/2014/main" id="{FC7C21E8-54FC-46C2-ABDC-43D66B8316C5}"/>
            </a:ext>
          </a:extLst>
        </xdr:cNvPr>
        <xdr:cNvSpPr txBox="1"/>
      </xdr:nvSpPr>
      <xdr:spPr>
        <a:xfrm>
          <a:off x="9772800" y="799268"/>
          <a:ext cx="826710" cy="402167"/>
        </a:xfrm>
        <a:prstGeom prst="roundRect">
          <a:avLst>
            <a:gd name="adj" fmla="val 10953"/>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41E428-9D0D-462B-81F2-6F8CCC7B72F9}" type="TxLink">
            <a:rPr lang="en-US" sz="1800" b="0" i="0" u="none" strike="noStrike">
              <a:solidFill>
                <a:srgbClr val="000000"/>
              </a:solidFill>
              <a:latin typeface="Calibri"/>
              <a:ea typeface="Calibri"/>
              <a:cs typeface="Calibri"/>
            </a:rPr>
            <a:pPr algn="ctr"/>
            <a:t> $8.8 </a:t>
          </a:fld>
          <a:endParaRPr lang="en-US" sz="7200"/>
        </a:p>
      </xdr:txBody>
    </xdr:sp>
    <xdr:clientData/>
  </xdr:twoCellAnchor>
  <xdr:oneCellAnchor>
    <xdr:from>
      <xdr:col>16</xdr:col>
      <xdr:colOff>539903</xdr:colOff>
      <xdr:row>3</xdr:row>
      <xdr:rowOff>169334</xdr:rowOff>
    </xdr:from>
    <xdr:ext cx="971420" cy="342786"/>
    <xdr:sp macro="" textlink="">
      <xdr:nvSpPr>
        <xdr:cNvPr id="44" name="TextBox 43">
          <a:extLst>
            <a:ext uri="{FF2B5EF4-FFF2-40B4-BE49-F238E27FC236}">
              <a16:creationId xmlns:a16="http://schemas.microsoft.com/office/drawing/2014/main" id="{74E8315C-BB42-492F-B26C-A06B6FED4FB6}"/>
            </a:ext>
          </a:extLst>
        </xdr:cNvPr>
        <xdr:cNvSpPr txBox="1"/>
      </xdr:nvSpPr>
      <xdr:spPr>
        <a:xfrm>
          <a:off x="9724724" y="550334"/>
          <a:ext cx="9714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Avg Price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4.620664351853" createdVersion="7" refreshedVersion="7" minRefreshableVersion="3" recordCount="150" xr:uid="{06E9F15E-7B47-4B10-98DD-B381988B2B7A}">
  <cacheSource type="worksheet">
    <worksheetSource name="Table2"/>
  </cacheSource>
  <cacheFields count="7">
    <cacheField name="ID" numFmtId="0">
      <sharedItems containsSemiMixedTypes="0" containsString="0" containsNumber="1" containsInteger="1" minValue="1" maxValue="150"/>
    </cacheField>
    <cacheField name="Item" numFmtId="0">
      <sharedItems count="10">
        <s v="Mulled Wine"/>
        <s v="Hot Chocolate"/>
        <s v="Hot Cider"/>
        <s v="Soup"/>
        <s v="Herbal Tea"/>
        <s v="Coffee"/>
        <s v="Green Tea"/>
        <s v="Chai"/>
        <s v="Cappuccino"/>
        <s v="Latte"/>
      </sharedItems>
    </cacheField>
    <cacheField name="Type" numFmtId="0">
      <sharedItems count="3">
        <s v="Snack"/>
        <s v="Drink"/>
        <s v="Soup"/>
      </sharedItems>
    </cacheField>
    <cacheField name="Origin" numFmtId="0">
      <sharedItems count="10">
        <s v="Japan"/>
        <s v="Canada"/>
        <s v="Germany"/>
        <s v="Italy"/>
        <s v="Switzerland"/>
        <s v="USA"/>
        <s v="India"/>
        <s v="China"/>
        <s v="UK"/>
        <s v="France"/>
      </sharedItems>
    </cacheField>
    <cacheField name="Season" numFmtId="0">
      <sharedItems count="3">
        <s v="Winter 2025"/>
        <s v="Winter 2024"/>
        <s v="Winter 2023"/>
      </sharedItems>
    </cacheField>
    <cacheField name="Price(USD)" numFmtId="0">
      <sharedItems containsSemiMixedTypes="0" containsString="0" containsNumber="1" minValue="2.02" maxValue="14.96"/>
    </cacheField>
    <cacheField name="Popularity_Score" numFmtId="0">
      <sharedItems containsSemiMixedTypes="0" containsString="0" containsNumber="1" minValue="1.1000000000000001" maxValue="9.9"/>
    </cacheField>
  </cacheFields>
  <extLst>
    <ext xmlns:x14="http://schemas.microsoft.com/office/spreadsheetml/2009/9/main" uri="{725AE2AE-9491-48be-B2B4-4EB974FC3084}">
      <x14:pivotCacheDefinition pivotCacheId="1763208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x v="0"/>
    <x v="0"/>
    <x v="0"/>
    <x v="0"/>
    <n v="5.97"/>
    <n v="7.5"/>
  </r>
  <r>
    <n v="2"/>
    <x v="1"/>
    <x v="1"/>
    <x v="1"/>
    <x v="1"/>
    <n v="12.54"/>
    <n v="4.7"/>
  </r>
  <r>
    <n v="3"/>
    <x v="2"/>
    <x v="0"/>
    <x v="2"/>
    <x v="1"/>
    <n v="12.43"/>
    <n v="8.5"/>
  </r>
  <r>
    <n v="4"/>
    <x v="2"/>
    <x v="1"/>
    <x v="3"/>
    <x v="0"/>
    <n v="14.26"/>
    <n v="3.2"/>
  </r>
  <r>
    <n v="5"/>
    <x v="0"/>
    <x v="0"/>
    <x v="4"/>
    <x v="1"/>
    <n v="14.31"/>
    <n v="2.8"/>
  </r>
  <r>
    <n v="6"/>
    <x v="3"/>
    <x v="1"/>
    <x v="5"/>
    <x v="0"/>
    <n v="8.16"/>
    <n v="9.1999999999999993"/>
  </r>
  <r>
    <n v="7"/>
    <x v="4"/>
    <x v="2"/>
    <x v="2"/>
    <x v="2"/>
    <n v="10.45"/>
    <n v="9.1999999999999993"/>
  </r>
  <r>
    <n v="8"/>
    <x v="0"/>
    <x v="2"/>
    <x v="4"/>
    <x v="2"/>
    <n v="3.9"/>
    <n v="8.8000000000000007"/>
  </r>
  <r>
    <n v="9"/>
    <x v="5"/>
    <x v="1"/>
    <x v="4"/>
    <x v="0"/>
    <n v="13.87"/>
    <n v="8.6999999999999993"/>
  </r>
  <r>
    <n v="10"/>
    <x v="1"/>
    <x v="1"/>
    <x v="6"/>
    <x v="1"/>
    <n v="14.66"/>
    <n v="2.9"/>
  </r>
  <r>
    <n v="11"/>
    <x v="3"/>
    <x v="1"/>
    <x v="1"/>
    <x v="1"/>
    <n v="3.09"/>
    <n v="1.7"/>
  </r>
  <r>
    <n v="12"/>
    <x v="4"/>
    <x v="1"/>
    <x v="2"/>
    <x v="1"/>
    <n v="12.9"/>
    <n v="8.5"/>
  </r>
  <r>
    <n v="13"/>
    <x v="0"/>
    <x v="0"/>
    <x v="3"/>
    <x v="2"/>
    <n v="6"/>
    <n v="2.7"/>
  </r>
  <r>
    <n v="14"/>
    <x v="6"/>
    <x v="0"/>
    <x v="7"/>
    <x v="2"/>
    <n v="5.9"/>
    <n v="2.2999999999999998"/>
  </r>
  <r>
    <n v="15"/>
    <x v="3"/>
    <x v="1"/>
    <x v="2"/>
    <x v="0"/>
    <n v="6.36"/>
    <n v="1.5"/>
  </r>
  <r>
    <n v="16"/>
    <x v="0"/>
    <x v="2"/>
    <x v="2"/>
    <x v="0"/>
    <n v="13"/>
    <n v="3.3"/>
  </r>
  <r>
    <n v="17"/>
    <x v="7"/>
    <x v="1"/>
    <x v="0"/>
    <x v="2"/>
    <n v="3.92"/>
    <n v="4.8"/>
  </r>
  <r>
    <n v="18"/>
    <x v="1"/>
    <x v="2"/>
    <x v="5"/>
    <x v="2"/>
    <n v="7.36"/>
    <n v="4.2"/>
  </r>
  <r>
    <n v="19"/>
    <x v="5"/>
    <x v="2"/>
    <x v="8"/>
    <x v="2"/>
    <n v="2.5299999999999998"/>
    <n v="6.7"/>
  </r>
  <r>
    <n v="20"/>
    <x v="7"/>
    <x v="0"/>
    <x v="0"/>
    <x v="0"/>
    <n v="14.56"/>
    <n v="8.9"/>
  </r>
  <r>
    <n v="21"/>
    <x v="8"/>
    <x v="1"/>
    <x v="5"/>
    <x v="0"/>
    <n v="6.9"/>
    <n v="6.8"/>
  </r>
  <r>
    <n v="22"/>
    <x v="9"/>
    <x v="2"/>
    <x v="2"/>
    <x v="0"/>
    <n v="13.73"/>
    <n v="1.3"/>
  </r>
  <r>
    <n v="23"/>
    <x v="3"/>
    <x v="1"/>
    <x v="9"/>
    <x v="0"/>
    <n v="14.28"/>
    <n v="1.1000000000000001"/>
  </r>
  <r>
    <n v="24"/>
    <x v="9"/>
    <x v="0"/>
    <x v="3"/>
    <x v="0"/>
    <n v="12.33"/>
    <n v="5.8"/>
  </r>
  <r>
    <n v="25"/>
    <x v="9"/>
    <x v="2"/>
    <x v="4"/>
    <x v="0"/>
    <n v="10.210000000000001"/>
    <n v="3.2"/>
  </r>
  <r>
    <n v="26"/>
    <x v="2"/>
    <x v="0"/>
    <x v="6"/>
    <x v="0"/>
    <n v="12.01"/>
    <n v="6.4"/>
  </r>
  <r>
    <n v="27"/>
    <x v="5"/>
    <x v="1"/>
    <x v="6"/>
    <x v="1"/>
    <n v="9.67"/>
    <n v="3.1"/>
  </r>
  <r>
    <n v="28"/>
    <x v="9"/>
    <x v="2"/>
    <x v="2"/>
    <x v="1"/>
    <n v="4.8"/>
    <n v="6.7"/>
  </r>
  <r>
    <n v="29"/>
    <x v="4"/>
    <x v="1"/>
    <x v="8"/>
    <x v="2"/>
    <n v="8.34"/>
    <n v="1.1000000000000001"/>
  </r>
  <r>
    <n v="30"/>
    <x v="1"/>
    <x v="0"/>
    <x v="3"/>
    <x v="1"/>
    <n v="4.32"/>
    <n v="6.1"/>
  </r>
  <r>
    <n v="31"/>
    <x v="4"/>
    <x v="1"/>
    <x v="7"/>
    <x v="2"/>
    <n v="10.48"/>
    <n v="4.5999999999999996"/>
  </r>
  <r>
    <n v="32"/>
    <x v="7"/>
    <x v="0"/>
    <x v="9"/>
    <x v="0"/>
    <n v="8.69"/>
    <n v="3.9"/>
  </r>
  <r>
    <n v="33"/>
    <x v="5"/>
    <x v="2"/>
    <x v="8"/>
    <x v="1"/>
    <n v="3.29"/>
    <n v="7.9"/>
  </r>
  <r>
    <n v="34"/>
    <x v="4"/>
    <x v="0"/>
    <x v="1"/>
    <x v="2"/>
    <n v="3.1"/>
    <n v="8.9"/>
  </r>
  <r>
    <n v="35"/>
    <x v="4"/>
    <x v="0"/>
    <x v="0"/>
    <x v="0"/>
    <n v="10.7"/>
    <n v="2.2999999999999998"/>
  </r>
  <r>
    <n v="36"/>
    <x v="4"/>
    <x v="1"/>
    <x v="6"/>
    <x v="0"/>
    <n v="14.42"/>
    <n v="2.8"/>
  </r>
  <r>
    <n v="37"/>
    <x v="8"/>
    <x v="2"/>
    <x v="4"/>
    <x v="2"/>
    <n v="14.53"/>
    <n v="5"/>
  </r>
  <r>
    <n v="38"/>
    <x v="5"/>
    <x v="1"/>
    <x v="4"/>
    <x v="0"/>
    <n v="7.15"/>
    <n v="9.9"/>
  </r>
  <r>
    <n v="39"/>
    <x v="9"/>
    <x v="1"/>
    <x v="7"/>
    <x v="0"/>
    <n v="14.36"/>
    <n v="7.9"/>
  </r>
  <r>
    <n v="40"/>
    <x v="9"/>
    <x v="1"/>
    <x v="4"/>
    <x v="1"/>
    <n v="2.29"/>
    <n v="4.4000000000000004"/>
  </r>
  <r>
    <n v="41"/>
    <x v="3"/>
    <x v="1"/>
    <x v="0"/>
    <x v="1"/>
    <n v="3.09"/>
    <n v="5.7"/>
  </r>
  <r>
    <n v="42"/>
    <x v="4"/>
    <x v="2"/>
    <x v="3"/>
    <x v="2"/>
    <n v="10.33"/>
    <n v="2.7"/>
  </r>
  <r>
    <n v="43"/>
    <x v="8"/>
    <x v="2"/>
    <x v="7"/>
    <x v="1"/>
    <n v="6.19"/>
    <n v="1.4"/>
  </r>
  <r>
    <n v="44"/>
    <x v="8"/>
    <x v="2"/>
    <x v="3"/>
    <x v="2"/>
    <n v="12.33"/>
    <n v="5.6"/>
  </r>
  <r>
    <n v="45"/>
    <x v="5"/>
    <x v="0"/>
    <x v="5"/>
    <x v="0"/>
    <n v="10.69"/>
    <n v="9.8000000000000007"/>
  </r>
  <r>
    <n v="46"/>
    <x v="0"/>
    <x v="0"/>
    <x v="1"/>
    <x v="2"/>
    <n v="13.35"/>
    <n v="3.6"/>
  </r>
  <r>
    <n v="47"/>
    <x v="5"/>
    <x v="1"/>
    <x v="0"/>
    <x v="1"/>
    <n v="11.85"/>
    <n v="8.9"/>
  </r>
  <r>
    <n v="48"/>
    <x v="8"/>
    <x v="0"/>
    <x v="6"/>
    <x v="1"/>
    <n v="4.62"/>
    <n v="5"/>
  </r>
  <r>
    <n v="49"/>
    <x v="0"/>
    <x v="2"/>
    <x v="8"/>
    <x v="1"/>
    <n v="13.29"/>
    <n v="2.8"/>
  </r>
  <r>
    <n v="50"/>
    <x v="3"/>
    <x v="1"/>
    <x v="5"/>
    <x v="1"/>
    <n v="13.74"/>
    <n v="8.3000000000000007"/>
  </r>
  <r>
    <n v="51"/>
    <x v="7"/>
    <x v="2"/>
    <x v="3"/>
    <x v="1"/>
    <n v="9.06"/>
    <n v="1.6"/>
  </r>
  <r>
    <n v="52"/>
    <x v="6"/>
    <x v="2"/>
    <x v="7"/>
    <x v="1"/>
    <n v="4.34"/>
    <n v="2.2000000000000002"/>
  </r>
  <r>
    <n v="53"/>
    <x v="1"/>
    <x v="0"/>
    <x v="6"/>
    <x v="0"/>
    <n v="12.34"/>
    <n v="2.2000000000000002"/>
  </r>
  <r>
    <n v="54"/>
    <x v="1"/>
    <x v="1"/>
    <x v="6"/>
    <x v="1"/>
    <n v="12.58"/>
    <n v="4.4000000000000004"/>
  </r>
  <r>
    <n v="55"/>
    <x v="5"/>
    <x v="2"/>
    <x v="0"/>
    <x v="2"/>
    <n v="3.51"/>
    <n v="3.9"/>
  </r>
  <r>
    <n v="56"/>
    <x v="1"/>
    <x v="2"/>
    <x v="3"/>
    <x v="0"/>
    <n v="8.1199999999999992"/>
    <n v="6.9"/>
  </r>
  <r>
    <n v="57"/>
    <x v="9"/>
    <x v="1"/>
    <x v="0"/>
    <x v="1"/>
    <n v="8.5500000000000007"/>
    <n v="7.8"/>
  </r>
  <r>
    <n v="58"/>
    <x v="3"/>
    <x v="0"/>
    <x v="8"/>
    <x v="2"/>
    <n v="8.6999999999999993"/>
    <n v="1.2"/>
  </r>
  <r>
    <n v="59"/>
    <x v="6"/>
    <x v="2"/>
    <x v="1"/>
    <x v="0"/>
    <n v="14.28"/>
    <n v="9.5"/>
  </r>
  <r>
    <n v="60"/>
    <x v="8"/>
    <x v="0"/>
    <x v="0"/>
    <x v="2"/>
    <n v="7.41"/>
    <n v="5.9"/>
  </r>
  <r>
    <n v="61"/>
    <x v="2"/>
    <x v="0"/>
    <x v="9"/>
    <x v="2"/>
    <n v="14.9"/>
    <n v="7.3"/>
  </r>
  <r>
    <n v="62"/>
    <x v="9"/>
    <x v="0"/>
    <x v="9"/>
    <x v="0"/>
    <n v="5.4"/>
    <n v="8.4"/>
  </r>
  <r>
    <n v="63"/>
    <x v="4"/>
    <x v="1"/>
    <x v="0"/>
    <x v="1"/>
    <n v="4.6900000000000004"/>
    <n v="3.1"/>
  </r>
  <r>
    <n v="64"/>
    <x v="2"/>
    <x v="2"/>
    <x v="3"/>
    <x v="0"/>
    <n v="8.57"/>
    <n v="4.7"/>
  </r>
  <r>
    <n v="65"/>
    <x v="3"/>
    <x v="1"/>
    <x v="9"/>
    <x v="0"/>
    <n v="14.94"/>
    <n v="1.9"/>
  </r>
  <r>
    <n v="66"/>
    <x v="3"/>
    <x v="2"/>
    <x v="6"/>
    <x v="0"/>
    <n v="5.4"/>
    <n v="5.6"/>
  </r>
  <r>
    <n v="67"/>
    <x v="9"/>
    <x v="0"/>
    <x v="7"/>
    <x v="2"/>
    <n v="8.6"/>
    <n v="5.2"/>
  </r>
  <r>
    <n v="68"/>
    <x v="1"/>
    <x v="0"/>
    <x v="7"/>
    <x v="1"/>
    <n v="9.14"/>
    <n v="3.6"/>
  </r>
  <r>
    <n v="69"/>
    <x v="8"/>
    <x v="2"/>
    <x v="1"/>
    <x v="1"/>
    <n v="9.09"/>
    <n v="8.1999999999999993"/>
  </r>
  <r>
    <n v="70"/>
    <x v="5"/>
    <x v="2"/>
    <x v="4"/>
    <x v="2"/>
    <n v="7.71"/>
    <n v="7"/>
  </r>
  <r>
    <n v="71"/>
    <x v="4"/>
    <x v="1"/>
    <x v="7"/>
    <x v="2"/>
    <n v="8.4"/>
    <n v="9.6999999999999993"/>
  </r>
  <r>
    <n v="72"/>
    <x v="3"/>
    <x v="2"/>
    <x v="0"/>
    <x v="1"/>
    <n v="7.94"/>
    <n v="8.1999999999999993"/>
  </r>
  <r>
    <n v="73"/>
    <x v="6"/>
    <x v="0"/>
    <x v="1"/>
    <x v="1"/>
    <n v="9.0500000000000007"/>
    <n v="9.6"/>
  </r>
  <r>
    <n v="74"/>
    <x v="0"/>
    <x v="1"/>
    <x v="7"/>
    <x v="0"/>
    <n v="6.54"/>
    <n v="5.6"/>
  </r>
  <r>
    <n v="75"/>
    <x v="8"/>
    <x v="2"/>
    <x v="9"/>
    <x v="2"/>
    <n v="2.42"/>
    <n v="4.8"/>
  </r>
  <r>
    <n v="76"/>
    <x v="4"/>
    <x v="0"/>
    <x v="8"/>
    <x v="0"/>
    <n v="3.47"/>
    <n v="2.2999999999999998"/>
  </r>
  <r>
    <n v="77"/>
    <x v="3"/>
    <x v="0"/>
    <x v="1"/>
    <x v="0"/>
    <n v="14.64"/>
    <n v="1.8"/>
  </r>
  <r>
    <n v="78"/>
    <x v="4"/>
    <x v="2"/>
    <x v="7"/>
    <x v="1"/>
    <n v="8.6"/>
    <n v="5.4"/>
  </r>
  <r>
    <n v="79"/>
    <x v="5"/>
    <x v="0"/>
    <x v="3"/>
    <x v="2"/>
    <n v="12.43"/>
    <n v="5.0999999999999996"/>
  </r>
  <r>
    <n v="80"/>
    <x v="5"/>
    <x v="0"/>
    <x v="8"/>
    <x v="1"/>
    <n v="12.61"/>
    <n v="7"/>
  </r>
  <r>
    <n v="81"/>
    <x v="4"/>
    <x v="1"/>
    <x v="9"/>
    <x v="1"/>
    <n v="14.22"/>
    <n v="8.3000000000000007"/>
  </r>
  <r>
    <n v="82"/>
    <x v="8"/>
    <x v="2"/>
    <x v="6"/>
    <x v="0"/>
    <n v="3.57"/>
    <n v="3.5"/>
  </r>
  <r>
    <n v="83"/>
    <x v="0"/>
    <x v="1"/>
    <x v="0"/>
    <x v="0"/>
    <n v="11.63"/>
    <n v="3.8"/>
  </r>
  <r>
    <n v="84"/>
    <x v="0"/>
    <x v="0"/>
    <x v="1"/>
    <x v="0"/>
    <n v="10.220000000000001"/>
    <n v="2.6"/>
  </r>
  <r>
    <n v="85"/>
    <x v="7"/>
    <x v="2"/>
    <x v="9"/>
    <x v="2"/>
    <n v="2.46"/>
    <n v="8.1"/>
  </r>
  <r>
    <n v="86"/>
    <x v="6"/>
    <x v="1"/>
    <x v="0"/>
    <x v="1"/>
    <n v="2.94"/>
    <n v="1.1000000000000001"/>
  </r>
  <r>
    <n v="87"/>
    <x v="6"/>
    <x v="1"/>
    <x v="0"/>
    <x v="1"/>
    <n v="11.85"/>
    <n v="1.4"/>
  </r>
  <r>
    <n v="88"/>
    <x v="9"/>
    <x v="1"/>
    <x v="5"/>
    <x v="2"/>
    <n v="13.56"/>
    <n v="9.5"/>
  </r>
  <r>
    <n v="89"/>
    <x v="9"/>
    <x v="2"/>
    <x v="0"/>
    <x v="1"/>
    <n v="3.42"/>
    <n v="5.7"/>
  </r>
  <r>
    <n v="90"/>
    <x v="2"/>
    <x v="1"/>
    <x v="5"/>
    <x v="1"/>
    <n v="5.73"/>
    <n v="7.1"/>
  </r>
  <r>
    <n v="91"/>
    <x v="3"/>
    <x v="1"/>
    <x v="7"/>
    <x v="2"/>
    <n v="11.46"/>
    <n v="1.9"/>
  </r>
  <r>
    <n v="92"/>
    <x v="2"/>
    <x v="0"/>
    <x v="8"/>
    <x v="1"/>
    <n v="11.67"/>
    <n v="4.5"/>
  </r>
  <r>
    <n v="93"/>
    <x v="4"/>
    <x v="1"/>
    <x v="8"/>
    <x v="0"/>
    <n v="13.28"/>
    <n v="2.2999999999999998"/>
  </r>
  <r>
    <n v="94"/>
    <x v="3"/>
    <x v="1"/>
    <x v="6"/>
    <x v="0"/>
    <n v="4.55"/>
    <n v="7.9"/>
  </r>
  <r>
    <n v="95"/>
    <x v="6"/>
    <x v="2"/>
    <x v="0"/>
    <x v="2"/>
    <n v="3.69"/>
    <n v="2.1"/>
  </r>
  <r>
    <n v="96"/>
    <x v="4"/>
    <x v="1"/>
    <x v="5"/>
    <x v="0"/>
    <n v="11.62"/>
    <n v="6.4"/>
  </r>
  <r>
    <n v="97"/>
    <x v="7"/>
    <x v="2"/>
    <x v="0"/>
    <x v="2"/>
    <n v="12.22"/>
    <n v="2.7"/>
  </r>
  <r>
    <n v="98"/>
    <x v="6"/>
    <x v="1"/>
    <x v="3"/>
    <x v="1"/>
    <n v="2.0499999999999998"/>
    <n v="8.1"/>
  </r>
  <r>
    <n v="99"/>
    <x v="3"/>
    <x v="1"/>
    <x v="8"/>
    <x v="0"/>
    <n v="7.96"/>
    <n v="9.3000000000000007"/>
  </r>
  <r>
    <n v="100"/>
    <x v="3"/>
    <x v="2"/>
    <x v="1"/>
    <x v="0"/>
    <n v="12.82"/>
    <n v="4.4000000000000004"/>
  </r>
  <r>
    <n v="101"/>
    <x v="6"/>
    <x v="2"/>
    <x v="3"/>
    <x v="2"/>
    <n v="3.99"/>
    <n v="6.9"/>
  </r>
  <r>
    <n v="102"/>
    <x v="2"/>
    <x v="2"/>
    <x v="6"/>
    <x v="2"/>
    <n v="2.82"/>
    <n v="7.7"/>
  </r>
  <r>
    <n v="103"/>
    <x v="7"/>
    <x v="2"/>
    <x v="2"/>
    <x v="2"/>
    <n v="8.5299999999999994"/>
    <n v="1.2"/>
  </r>
  <r>
    <n v="104"/>
    <x v="8"/>
    <x v="1"/>
    <x v="9"/>
    <x v="1"/>
    <n v="11.73"/>
    <n v="5.9"/>
  </r>
  <r>
    <n v="105"/>
    <x v="5"/>
    <x v="2"/>
    <x v="6"/>
    <x v="0"/>
    <n v="13.98"/>
    <n v="2.2000000000000002"/>
  </r>
  <r>
    <n v="106"/>
    <x v="3"/>
    <x v="1"/>
    <x v="3"/>
    <x v="1"/>
    <n v="11.97"/>
    <n v="9.1"/>
  </r>
  <r>
    <n v="107"/>
    <x v="7"/>
    <x v="0"/>
    <x v="8"/>
    <x v="0"/>
    <n v="5.18"/>
    <n v="3.6"/>
  </r>
  <r>
    <n v="108"/>
    <x v="4"/>
    <x v="0"/>
    <x v="0"/>
    <x v="2"/>
    <n v="2.77"/>
    <n v="6.7"/>
  </r>
  <r>
    <n v="109"/>
    <x v="8"/>
    <x v="2"/>
    <x v="5"/>
    <x v="0"/>
    <n v="14.96"/>
    <n v="7.4"/>
  </r>
  <r>
    <n v="110"/>
    <x v="0"/>
    <x v="1"/>
    <x v="3"/>
    <x v="0"/>
    <n v="2.94"/>
    <n v="4.0999999999999996"/>
  </r>
  <r>
    <n v="111"/>
    <x v="4"/>
    <x v="2"/>
    <x v="4"/>
    <x v="2"/>
    <n v="2.08"/>
    <n v="9.8000000000000007"/>
  </r>
  <r>
    <n v="112"/>
    <x v="2"/>
    <x v="0"/>
    <x v="7"/>
    <x v="2"/>
    <n v="8.6"/>
    <n v="9.9"/>
  </r>
  <r>
    <n v="113"/>
    <x v="8"/>
    <x v="0"/>
    <x v="5"/>
    <x v="2"/>
    <n v="13.51"/>
    <n v="7.1"/>
  </r>
  <r>
    <n v="114"/>
    <x v="3"/>
    <x v="1"/>
    <x v="7"/>
    <x v="2"/>
    <n v="4.04"/>
    <n v="9.6"/>
  </r>
  <r>
    <n v="115"/>
    <x v="2"/>
    <x v="1"/>
    <x v="9"/>
    <x v="2"/>
    <n v="13.28"/>
    <n v="4.7"/>
  </r>
  <r>
    <n v="116"/>
    <x v="7"/>
    <x v="1"/>
    <x v="3"/>
    <x v="0"/>
    <n v="12.17"/>
    <n v="9.1"/>
  </r>
  <r>
    <n v="117"/>
    <x v="7"/>
    <x v="1"/>
    <x v="9"/>
    <x v="2"/>
    <n v="2.02"/>
    <n v="6.1"/>
  </r>
  <r>
    <n v="118"/>
    <x v="2"/>
    <x v="1"/>
    <x v="5"/>
    <x v="1"/>
    <n v="5.52"/>
    <n v="4.5999999999999996"/>
  </r>
  <r>
    <n v="119"/>
    <x v="8"/>
    <x v="0"/>
    <x v="6"/>
    <x v="0"/>
    <n v="3.71"/>
    <n v="3.8"/>
  </r>
  <r>
    <n v="120"/>
    <x v="9"/>
    <x v="1"/>
    <x v="0"/>
    <x v="2"/>
    <n v="11.55"/>
    <n v="1.6"/>
  </r>
  <r>
    <n v="121"/>
    <x v="2"/>
    <x v="1"/>
    <x v="6"/>
    <x v="1"/>
    <n v="13.98"/>
    <n v="4.3"/>
  </r>
  <r>
    <n v="122"/>
    <x v="2"/>
    <x v="2"/>
    <x v="9"/>
    <x v="0"/>
    <n v="2.7"/>
    <n v="1.6"/>
  </r>
  <r>
    <n v="123"/>
    <x v="1"/>
    <x v="1"/>
    <x v="1"/>
    <x v="1"/>
    <n v="13.66"/>
    <n v="5.4"/>
  </r>
  <r>
    <n v="124"/>
    <x v="2"/>
    <x v="0"/>
    <x v="7"/>
    <x v="0"/>
    <n v="9.82"/>
    <n v="3.5"/>
  </r>
  <r>
    <n v="125"/>
    <x v="1"/>
    <x v="1"/>
    <x v="7"/>
    <x v="2"/>
    <n v="12.82"/>
    <n v="9.5"/>
  </r>
  <r>
    <n v="126"/>
    <x v="5"/>
    <x v="2"/>
    <x v="2"/>
    <x v="2"/>
    <n v="3.87"/>
    <n v="3.3"/>
  </r>
  <r>
    <n v="127"/>
    <x v="5"/>
    <x v="0"/>
    <x v="9"/>
    <x v="1"/>
    <n v="5.16"/>
    <n v="5.6"/>
  </r>
  <r>
    <n v="128"/>
    <x v="6"/>
    <x v="1"/>
    <x v="6"/>
    <x v="1"/>
    <n v="11.95"/>
    <n v="5.8"/>
  </r>
  <r>
    <n v="129"/>
    <x v="2"/>
    <x v="2"/>
    <x v="5"/>
    <x v="0"/>
    <n v="3.95"/>
    <n v="1.7"/>
  </r>
  <r>
    <n v="130"/>
    <x v="9"/>
    <x v="1"/>
    <x v="8"/>
    <x v="0"/>
    <n v="9.65"/>
    <n v="4"/>
  </r>
  <r>
    <n v="131"/>
    <x v="4"/>
    <x v="2"/>
    <x v="0"/>
    <x v="2"/>
    <n v="4.58"/>
    <n v="5.2"/>
  </r>
  <r>
    <n v="132"/>
    <x v="0"/>
    <x v="2"/>
    <x v="9"/>
    <x v="0"/>
    <n v="8.65"/>
    <n v="4.8"/>
  </r>
  <r>
    <n v="133"/>
    <x v="6"/>
    <x v="0"/>
    <x v="0"/>
    <x v="0"/>
    <n v="4.33"/>
    <n v="6.1"/>
  </r>
  <r>
    <n v="134"/>
    <x v="1"/>
    <x v="2"/>
    <x v="8"/>
    <x v="2"/>
    <n v="8.3000000000000007"/>
    <n v="9.6999999999999993"/>
  </r>
  <r>
    <n v="135"/>
    <x v="3"/>
    <x v="1"/>
    <x v="3"/>
    <x v="1"/>
    <n v="13.23"/>
    <n v="8.1999999999999993"/>
  </r>
  <r>
    <n v="136"/>
    <x v="5"/>
    <x v="0"/>
    <x v="5"/>
    <x v="0"/>
    <n v="11.55"/>
    <n v="6.9"/>
  </r>
  <r>
    <n v="137"/>
    <x v="9"/>
    <x v="0"/>
    <x v="3"/>
    <x v="0"/>
    <n v="8.01"/>
    <n v="3.8"/>
  </r>
  <r>
    <n v="138"/>
    <x v="0"/>
    <x v="2"/>
    <x v="3"/>
    <x v="1"/>
    <n v="11.2"/>
    <n v="2.1"/>
  </r>
  <r>
    <n v="139"/>
    <x v="5"/>
    <x v="1"/>
    <x v="4"/>
    <x v="2"/>
    <n v="6.66"/>
    <n v="5.5"/>
  </r>
  <r>
    <n v="140"/>
    <x v="9"/>
    <x v="1"/>
    <x v="8"/>
    <x v="0"/>
    <n v="13.28"/>
    <n v="3.2"/>
  </r>
  <r>
    <n v="141"/>
    <x v="9"/>
    <x v="1"/>
    <x v="4"/>
    <x v="0"/>
    <n v="8.23"/>
    <n v="6.6"/>
  </r>
  <r>
    <n v="142"/>
    <x v="6"/>
    <x v="1"/>
    <x v="1"/>
    <x v="0"/>
    <n v="13.08"/>
    <n v="7.3"/>
  </r>
  <r>
    <n v="143"/>
    <x v="9"/>
    <x v="1"/>
    <x v="4"/>
    <x v="2"/>
    <n v="5.26"/>
    <n v="7.4"/>
  </r>
  <r>
    <n v="144"/>
    <x v="7"/>
    <x v="1"/>
    <x v="2"/>
    <x v="0"/>
    <n v="2.76"/>
    <n v="3.8"/>
  </r>
  <r>
    <n v="145"/>
    <x v="2"/>
    <x v="2"/>
    <x v="9"/>
    <x v="2"/>
    <n v="6.88"/>
    <n v="3"/>
  </r>
  <r>
    <n v="146"/>
    <x v="6"/>
    <x v="1"/>
    <x v="2"/>
    <x v="1"/>
    <n v="5.28"/>
    <n v="2"/>
  </r>
  <r>
    <n v="147"/>
    <x v="8"/>
    <x v="1"/>
    <x v="6"/>
    <x v="1"/>
    <n v="8.17"/>
    <n v="5.7"/>
  </r>
  <r>
    <n v="148"/>
    <x v="9"/>
    <x v="2"/>
    <x v="8"/>
    <x v="2"/>
    <n v="10.85"/>
    <n v="3.6"/>
  </r>
  <r>
    <n v="149"/>
    <x v="4"/>
    <x v="1"/>
    <x v="3"/>
    <x v="1"/>
    <n v="6.41"/>
    <n v="5.4"/>
  </r>
  <r>
    <n v="150"/>
    <x v="2"/>
    <x v="1"/>
    <x v="1"/>
    <x v="1"/>
    <n v="12.33"/>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38FA36-7CEC-4960-84AE-5269E2E14BE9}" name="PivotTable9"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Q19:R30" firstHeaderRow="1" firstDataRow="1" firstDataCol="1"/>
  <pivotFields count="7">
    <pivotField showAll="0"/>
    <pivotField axis="axisRow" showAll="0">
      <items count="11">
        <item x="8"/>
        <item x="7"/>
        <item x="5"/>
        <item x="6"/>
        <item x="4"/>
        <item x="1"/>
        <item x="2"/>
        <item x="9"/>
        <item x="0"/>
        <item x="3"/>
        <item t="default"/>
      </items>
    </pivotField>
    <pivotField showAll="0">
      <items count="4">
        <item x="1"/>
        <item x="0"/>
        <item x="2"/>
        <item t="default"/>
      </items>
    </pivotField>
    <pivotField showAll="0"/>
    <pivotField showAll="0">
      <items count="4">
        <item x="2"/>
        <item x="1"/>
        <item x="0"/>
        <item t="default"/>
      </items>
    </pivotField>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Average of Popularity_Score" fld="6" subtotal="average" baseField="1" baseItem="1" numFmtId="167"/>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E4D62-3542-4089-BF19-C10AE546D022}" name="PivotTable8"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N3:O14" firstHeaderRow="1" firstDataRow="1" firstDataCol="1"/>
  <pivotFields count="7">
    <pivotField showAll="0"/>
    <pivotField showAll="0">
      <items count="11">
        <item x="8"/>
        <item x="7"/>
        <item x="5"/>
        <item x="6"/>
        <item x="4"/>
        <item x="1"/>
        <item x="2"/>
        <item x="9"/>
        <item x="0"/>
        <item x="3"/>
        <item t="default"/>
      </items>
    </pivotField>
    <pivotField dataField="1" showAll="0">
      <items count="4">
        <item x="1"/>
        <item x="0"/>
        <item x="2"/>
        <item t="default"/>
      </items>
    </pivotField>
    <pivotField axis="axisRow" showAll="0">
      <items count="11">
        <item x="1"/>
        <item x="7"/>
        <item x="9"/>
        <item x="2"/>
        <item x="6"/>
        <item x="3"/>
        <item x="0"/>
        <item x="4"/>
        <item x="8"/>
        <item x="5"/>
        <item t="default"/>
      </items>
    </pivotField>
    <pivotField showAll="0">
      <items count="4">
        <item x="2"/>
        <item x="1"/>
        <item x="0"/>
        <item t="default"/>
      </items>
    </pivotField>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Type" fld="2" subtotal="count" baseField="0" baseItem="0"/>
  </dataFields>
  <chartFormats count="1">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A75DD-5C72-4924-BBED-85B4791F7E0B}" name="PivotTable4"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F3:F4" firstHeaderRow="1" firstDataRow="1" firstDataCol="0"/>
  <pivotFields count="7">
    <pivotField showAll="0"/>
    <pivotField showAll="0">
      <items count="11">
        <item x="8"/>
        <item x="7"/>
        <item x="5"/>
        <item x="6"/>
        <item x="4"/>
        <item x="1"/>
        <item x="2"/>
        <item x="9"/>
        <item x="0"/>
        <item x="3"/>
        <item t="default"/>
      </items>
    </pivotField>
    <pivotField showAll="0">
      <items count="4">
        <item x="1"/>
        <item x="0"/>
        <item x="2"/>
        <item t="default"/>
      </items>
    </pivotField>
    <pivotField showAll="0"/>
    <pivotField showAll="0">
      <items count="4">
        <item x="2"/>
        <item x="1"/>
        <item x="0"/>
        <item t="default"/>
      </items>
    </pivotField>
    <pivotField dataField="1" showAll="0"/>
    <pivotField showAll="0"/>
  </pivotFields>
  <rowItems count="1">
    <i/>
  </rowItems>
  <colItems count="1">
    <i/>
  </colItems>
  <dataFields count="1">
    <dataField name="Sum of Price(USD)" fld="5" baseField="0" baseItem="0" numFmtId="164"/>
  </dataFields>
  <formats count="3">
    <format dxfId="4">
      <pivotArea type="all" dataOnly="0" outline="0" fieldPosition="0"/>
    </format>
    <format dxfId="5">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322E6C-EFEE-4F7B-A462-31CF8D209DBE}" name="PivotTable6"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J3:K7" firstHeaderRow="1" firstDataRow="1" firstDataCol="1"/>
  <pivotFields count="7">
    <pivotField showAll="0"/>
    <pivotField showAll="0">
      <items count="11">
        <item x="8"/>
        <item x="7"/>
        <item x="5"/>
        <item x="6"/>
        <item x="4"/>
        <item x="1"/>
        <item x="2"/>
        <item x="9"/>
        <item x="0"/>
        <item x="3"/>
        <item t="default"/>
      </items>
    </pivotField>
    <pivotField showAll="0">
      <items count="4">
        <item x="1"/>
        <item x="0"/>
        <item x="2"/>
        <item t="default"/>
      </items>
    </pivotField>
    <pivotField showAll="0"/>
    <pivotField axis="axisRow" showAll="0">
      <items count="4">
        <item x="2"/>
        <item x="1"/>
        <item x="0"/>
        <item t="default"/>
      </items>
    </pivotField>
    <pivotField dataField="1" showAll="0"/>
    <pivotField showAll="0"/>
  </pivotFields>
  <rowFields count="1">
    <field x="4"/>
  </rowFields>
  <rowItems count="4">
    <i>
      <x/>
    </i>
    <i>
      <x v="1"/>
    </i>
    <i>
      <x v="2"/>
    </i>
    <i t="grand">
      <x/>
    </i>
  </rowItems>
  <colItems count="1">
    <i/>
  </colItems>
  <dataFields count="1">
    <dataField name="Sum of Price(USD)" fld="5" baseField="0" baseItem="0" numFmtId="165"/>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538414-A8BA-4848-A62E-4699445541D9}" name="PivotTable10"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J9:K13" firstHeaderRow="1" firstDataRow="1" firstDataCol="1"/>
  <pivotFields count="7">
    <pivotField showAll="0"/>
    <pivotField dataField="1" showAll="0">
      <items count="11">
        <item x="8"/>
        <item x="7"/>
        <item x="5"/>
        <item x="6"/>
        <item x="4"/>
        <item x="1"/>
        <item x="2"/>
        <item x="9"/>
        <item x="0"/>
        <item x="3"/>
        <item t="default"/>
      </items>
    </pivotField>
    <pivotField showAll="0">
      <items count="4">
        <item x="1"/>
        <item x="0"/>
        <item x="2"/>
        <item t="default"/>
      </items>
    </pivotField>
    <pivotField showAll="0"/>
    <pivotField axis="axisRow" showAll="0">
      <items count="4">
        <item x="2"/>
        <item x="1"/>
        <item x="0"/>
        <item t="default"/>
      </items>
    </pivotField>
    <pivotField showAll="0"/>
    <pivotField showAll="0"/>
  </pivotFields>
  <rowFields count="1">
    <field x="4"/>
  </rowFields>
  <rowItems count="4">
    <i>
      <x/>
    </i>
    <i>
      <x v="1"/>
    </i>
    <i>
      <x v="2"/>
    </i>
    <i t="grand">
      <x/>
    </i>
  </rowItems>
  <colItems count="1">
    <i/>
  </colItems>
  <dataFields count="1">
    <dataField name="Count of Item" fld="1" subtotal="count" baseField="0" baseItem="0"/>
  </dataFields>
  <chartFormats count="4">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811EA6-9125-4B8C-A295-CCEFD9743146}" name="PivotTable3"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3:D4" firstHeaderRow="1" firstDataRow="1" firstDataCol="0"/>
  <pivotFields count="7">
    <pivotField showAll="0"/>
    <pivotField showAll="0">
      <items count="11">
        <item x="8"/>
        <item x="7"/>
        <item x="5"/>
        <item x="6"/>
        <item x="4"/>
        <item x="1"/>
        <item x="2"/>
        <item x="9"/>
        <item x="0"/>
        <item x="3"/>
        <item t="default"/>
      </items>
    </pivotField>
    <pivotField showAll="0">
      <items count="4">
        <item x="1"/>
        <item x="0"/>
        <item x="2"/>
        <item t="default"/>
      </items>
    </pivotField>
    <pivotField showAll="0"/>
    <pivotField dataField="1" showAll="0">
      <items count="4">
        <item x="2"/>
        <item x="1"/>
        <item x="0"/>
        <item t="default"/>
      </items>
    </pivotField>
    <pivotField showAll="0"/>
    <pivotField showAll="0"/>
  </pivotFields>
  <rowItems count="1">
    <i/>
  </rowItems>
  <colItems count="1">
    <i/>
  </colItems>
  <dataFields count="1">
    <dataField name="Total Coun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0A4C1D-03BD-4F27-983B-BEEC4B351F61}" name="PivotTable1"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N19:O30" firstHeaderRow="1" firstDataRow="1" firstDataCol="1"/>
  <pivotFields count="7">
    <pivotField showAll="0"/>
    <pivotField axis="axisRow" showAll="0" sortType="ascending">
      <items count="11">
        <item x="8"/>
        <item x="7"/>
        <item x="5"/>
        <item x="6"/>
        <item x="4"/>
        <item x="1"/>
        <item x="2"/>
        <item x="9"/>
        <item x="0"/>
        <item x="3"/>
        <item t="default"/>
      </items>
    </pivotField>
    <pivotField showAll="0">
      <items count="4">
        <item x="1"/>
        <item x="0"/>
        <item x="2"/>
        <item t="default"/>
      </items>
    </pivotField>
    <pivotField showAll="0"/>
    <pivotField showAll="0">
      <items count="4">
        <item x="2"/>
        <item x="1"/>
        <item x="0"/>
        <item t="default"/>
      </items>
    </pivotField>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Price(USD)" fld="5" baseField="0" baseItem="0" numFmtId="165"/>
  </dataFields>
  <chartFormats count="12">
    <chartFormat chart="2" format="7"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3"/>
          </reference>
        </references>
      </pivotArea>
    </chartFormat>
    <chartFormat chart="6" format="7">
      <pivotArea type="data" outline="0" fieldPosition="0">
        <references count="2">
          <reference field="4294967294" count="1" selected="0">
            <x v="0"/>
          </reference>
          <reference field="1" count="1" selected="0">
            <x v="4"/>
          </reference>
        </references>
      </pivotArea>
    </chartFormat>
    <chartFormat chart="6" format="8">
      <pivotArea type="data" outline="0" fieldPosition="0">
        <references count="2">
          <reference field="4294967294" count="1" selected="0">
            <x v="0"/>
          </reference>
          <reference field="1" count="1" selected="0">
            <x v="5"/>
          </reference>
        </references>
      </pivotArea>
    </chartFormat>
    <chartFormat chart="6" format="9">
      <pivotArea type="data" outline="0" fieldPosition="0">
        <references count="2">
          <reference field="4294967294" count="1" selected="0">
            <x v="0"/>
          </reference>
          <reference field="1" count="1" selected="0">
            <x v="6"/>
          </reference>
        </references>
      </pivotArea>
    </chartFormat>
    <chartFormat chart="6" format="10">
      <pivotArea type="data" outline="0" fieldPosition="0">
        <references count="2">
          <reference field="4294967294" count="1" selected="0">
            <x v="0"/>
          </reference>
          <reference field="1" count="1" selected="0">
            <x v="7"/>
          </reference>
        </references>
      </pivotArea>
    </chartFormat>
    <chartFormat chart="6" format="11">
      <pivotArea type="data" outline="0" fieldPosition="0">
        <references count="2">
          <reference field="4294967294" count="1" selected="0">
            <x v="0"/>
          </reference>
          <reference field="1" count="1" selected="0">
            <x v="8"/>
          </reference>
        </references>
      </pivotArea>
    </chartFormat>
    <chartFormat chart="6" format="1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E25FC3-9CBD-4D6D-88F1-349469568CF8}" name="PivotTable11"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F9:F10" firstHeaderRow="1" firstDataRow="1" firstDataCol="0"/>
  <pivotFields count="7">
    <pivotField showAll="0"/>
    <pivotField showAll="0">
      <items count="11">
        <item x="8"/>
        <item x="7"/>
        <item x="5"/>
        <item x="6"/>
        <item x="4"/>
        <item x="1"/>
        <item x="2"/>
        <item x="9"/>
        <item x="0"/>
        <item x="3"/>
        <item t="default"/>
      </items>
    </pivotField>
    <pivotField showAll="0">
      <items count="4">
        <item x="1"/>
        <item x="0"/>
        <item x="2"/>
        <item t="default"/>
      </items>
    </pivotField>
    <pivotField showAll="0"/>
    <pivotField showAll="0">
      <items count="4">
        <item x="2"/>
        <item x="1"/>
        <item x="0"/>
        <item t="default"/>
      </items>
    </pivotField>
    <pivotField dataField="1" showAll="0"/>
    <pivotField showAll="0"/>
  </pivotFields>
  <rowItems count="1">
    <i/>
  </rowItems>
  <colItems count="1">
    <i/>
  </colItems>
  <dataFields count="1">
    <dataField name="Average of Price(USD)" fld="5" subtotal="average" baseField="0" baseItem="36438016" numFmtId="168"/>
  </dataFields>
  <formats count="6">
    <format dxfId="7">
      <pivotArea type="all" dataOnly="0" outline="0" fieldPosition="0"/>
    </format>
    <format dxfId="8">
      <pivotArea outline="0" collapsedLevelsAreSubtotals="1" fieldPosition="0"/>
    </format>
    <format dxfId="9">
      <pivotArea dataOnly="0" labelOnly="1" outline="0" axis="axisValues" fieldPosition="0"/>
    </format>
    <format dxfId="10">
      <pivotArea outline="0" fieldPosition="0">
        <references count="1">
          <reference field="4294967294" count="1">
            <x v="0"/>
          </reference>
        </references>
      </pivotArea>
    </format>
    <format dxfId="11">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D4A3C6-B309-4F95-8CCE-5CB1C5F8D8B1}" name="PivotTable5"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H4" firstHeaderRow="1" firstDataRow="1" firstDataCol="0"/>
  <pivotFields count="7">
    <pivotField showAll="0"/>
    <pivotField showAll="0">
      <items count="11">
        <item x="8"/>
        <item x="7"/>
        <item x="5"/>
        <item x="6"/>
        <item x="4"/>
        <item x="1"/>
        <item x="2"/>
        <item x="9"/>
        <item x="0"/>
        <item x="3"/>
        <item t="default"/>
      </items>
    </pivotField>
    <pivotField showAll="0">
      <items count="4">
        <item x="1"/>
        <item x="0"/>
        <item x="2"/>
        <item t="default"/>
      </items>
    </pivotField>
    <pivotField showAll="0"/>
    <pivotField showAll="0">
      <items count="4">
        <item x="2"/>
        <item x="1"/>
        <item x="0"/>
        <item t="default"/>
      </items>
    </pivotField>
    <pivotField showAll="0"/>
    <pivotField dataField="1" showAll="0"/>
  </pivotFields>
  <rowItems count="1">
    <i/>
  </rowItems>
  <colItems count="1">
    <i/>
  </colItems>
  <dataFields count="1">
    <dataField name="Avg of Popularity_Score" fld="6" subtotal="average" baseField="0" baseItem="36438016" numFmtId="166"/>
  </dataFields>
  <formats count="4">
    <format dxfId="0">
      <pivotArea type="all" dataOnly="0" outline="0" fieldPosition="0"/>
    </format>
    <format dxfId="1">
      <pivotArea dataOnly="0" labelOnly="1" outline="0" axis="axisValues" fieldPosition="0"/>
    </format>
    <format dxfId="2">
      <pivotArea outline="0" collapsedLevelsAreSubtotals="1" fieldPosition="0"/>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9627B1-2F17-44D2-90D7-1EA4F7713FFC}" name="PivotTable2"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14" firstHeaderRow="1" firstDataRow="1" firstDataCol="1"/>
  <pivotFields count="7">
    <pivotField showAll="0"/>
    <pivotField dataField="1" showAll="0">
      <items count="11">
        <item x="8"/>
        <item x="7"/>
        <item x="5"/>
        <item x="6"/>
        <item x="4"/>
        <item x="1"/>
        <item x="2"/>
        <item x="9"/>
        <item x="0"/>
        <item x="3"/>
        <item t="default"/>
      </items>
    </pivotField>
    <pivotField showAll="0">
      <items count="4">
        <item x="1"/>
        <item x="0"/>
        <item x="2"/>
        <item t="default"/>
      </items>
    </pivotField>
    <pivotField axis="axisRow" showAll="0" sortType="ascending">
      <items count="11">
        <item x="1"/>
        <item x="7"/>
        <item x="9"/>
        <item x="2"/>
        <item x="6"/>
        <item x="3"/>
        <item x="0"/>
        <item x="4"/>
        <item x="8"/>
        <item x="5"/>
        <item t="default"/>
      </items>
    </pivotField>
    <pivotField showAll="0">
      <items count="4">
        <item x="2"/>
        <item x="1"/>
        <item x="0"/>
        <item t="default"/>
      </items>
    </pivotField>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Item" fld="1" subtotal="count" baseField="3" baseItem="4"/>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6E9AF51-BD5A-4C51-9EDD-4245B392B302}" sourceName="Type">
  <pivotTables>
    <pivotTable tabId="3" name="PivotTable6"/>
    <pivotTable tabId="3" name="PivotTable2"/>
    <pivotTable tabId="3" name="PivotTable3"/>
    <pivotTable tabId="3" name="PivotTable4"/>
    <pivotTable tabId="3" name="PivotTable5"/>
    <pivotTable tabId="3" name="PivotTable8"/>
    <pivotTable tabId="3" name="PivotTable1"/>
    <pivotTable tabId="3" name="PivotTable9"/>
    <pivotTable tabId="3" name="PivotTable10"/>
    <pivotTable tabId="3" name="PivotTable11"/>
  </pivotTables>
  <data>
    <tabular pivotCacheId="176320852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7AE8C2B-50C5-41AA-BA9B-F7519743E1D7}" sourceName="Season">
  <pivotTables>
    <pivotTable tabId="3" name="PivotTable6"/>
    <pivotTable tabId="3" name="PivotTable2"/>
    <pivotTable tabId="3" name="PivotTable3"/>
    <pivotTable tabId="3" name="PivotTable4"/>
    <pivotTable tabId="3" name="PivotTable5"/>
    <pivotTable tabId="3" name="PivotTable8"/>
    <pivotTable tabId="3" name="PivotTable1"/>
    <pivotTable tabId="3" name="PivotTable9"/>
    <pivotTable tabId="3" name="PivotTable10"/>
    <pivotTable tabId="3" name="PivotTable11"/>
  </pivotTables>
  <data>
    <tabular pivotCacheId="17632085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6939017-AD0D-4D9B-8FF7-69B741E0930A}" sourceName="Item">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763208525">
      <items count="10">
        <i x="8" s="1"/>
        <i x="7" s="1"/>
        <i x="5" s="1"/>
        <i x="6" s="1"/>
        <i x="4" s="1"/>
        <i x="1" s="1"/>
        <i x="2" s="1"/>
        <i x="9"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2F235007-A013-4494-8F1E-8B2EC67B9318}" cache="Slicer_Type" caption="Type" style="SlicerStyleOther1" rowHeight="365760"/>
  <slicer name="Season" xr10:uid="{B2D2C7AD-0E14-445F-A6AD-3F7B6A1B7972}" cache="Slicer_Season" caption="Season" style="SlicerStyleOther1" rowHeight="365760"/>
  <slicer name="Item 1" xr10:uid="{D0DC575B-CBBB-404E-B9C6-D5F510B44608}" cache="Slicer_Item" caption="Item"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850A04-9440-481B-A5D3-0230B2C89388}" name="Table2" displayName="Table2" ref="A1:G151" totalsRowShown="0">
  <autoFilter ref="A1:G151" xr:uid="{56850A04-9440-481B-A5D3-0230B2C89388}">
    <filterColumn colId="4">
      <filters>
        <filter val="Winter 2023"/>
      </filters>
    </filterColumn>
  </autoFilter>
  <tableColumns count="7">
    <tableColumn id="1" xr3:uid="{B619956C-8BDE-4436-B4F9-0C575A805D60}" name="ID"/>
    <tableColumn id="2" xr3:uid="{F4A65E32-7BC2-417F-A130-12533273CF5A}" name="Item"/>
    <tableColumn id="3" xr3:uid="{5FD62242-7A0B-4509-8397-2BAFCE9E834D}" name="Type"/>
    <tableColumn id="4" xr3:uid="{211179F1-A487-41D7-A89F-B2F93807D58A}" name="Origin"/>
    <tableColumn id="5" xr3:uid="{4811B063-21D4-49B3-B581-914647E1E7D4}" name="Season"/>
    <tableColumn id="6" xr3:uid="{8C87F9BD-7DC8-4B65-9E20-1C1E7F6610C3}" name="Price(USD)"/>
    <tableColumn id="7" xr3:uid="{59388780-8369-46DB-BB4A-4710EED92465}" name="Popularity_Score"/>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D710-B7F3-43DA-BA84-061E2148009A}">
  <dimension ref="A3:R30"/>
  <sheetViews>
    <sheetView workbookViewId="0">
      <selection activeCell="Z24" sqref="Z24"/>
    </sheetView>
  </sheetViews>
  <sheetFormatPr defaultRowHeight="15" x14ac:dyDescent="0.25"/>
  <cols>
    <col min="1" max="1" width="13.140625" bestFit="1" customWidth="1"/>
    <col min="2" max="3" width="13.28515625" bestFit="1" customWidth="1"/>
    <col min="4" max="4" width="11.140625" bestFit="1" customWidth="1"/>
    <col min="6" max="6" width="22.42578125" bestFit="1" customWidth="1"/>
    <col min="8" max="8" width="23.85546875" bestFit="1" customWidth="1"/>
    <col min="10" max="10" width="13.140625" bestFit="1" customWidth="1"/>
    <col min="11" max="11" width="13.28515625" bestFit="1" customWidth="1"/>
    <col min="12" max="12" width="11.140625" bestFit="1" customWidth="1"/>
    <col min="14" max="14" width="13.5703125" bestFit="1" customWidth="1"/>
    <col min="15" max="15" width="17.42578125" bestFit="1" customWidth="1"/>
    <col min="16" max="16" width="13.42578125" bestFit="1" customWidth="1"/>
    <col min="17" max="17" width="13.5703125" bestFit="1" customWidth="1"/>
    <col min="18" max="18" width="26.5703125" bestFit="1" customWidth="1"/>
    <col min="19" max="19" width="23" bestFit="1" customWidth="1"/>
  </cols>
  <sheetData>
    <row r="3" spans="1:15" x14ac:dyDescent="0.25">
      <c r="A3" s="1" t="s">
        <v>32</v>
      </c>
      <c r="B3" t="s">
        <v>37</v>
      </c>
      <c r="D3" t="s">
        <v>34</v>
      </c>
      <c r="F3" s="3" t="s">
        <v>35</v>
      </c>
      <c r="H3" s="3" t="s">
        <v>36</v>
      </c>
      <c r="J3" s="1" t="s">
        <v>32</v>
      </c>
      <c r="K3" t="s">
        <v>35</v>
      </c>
      <c r="N3" s="1" t="s">
        <v>32</v>
      </c>
      <c r="O3" t="s">
        <v>39</v>
      </c>
    </row>
    <row r="4" spans="1:15" x14ac:dyDescent="0.25">
      <c r="A4" s="2" t="s">
        <v>13</v>
      </c>
      <c r="B4" s="11">
        <v>13</v>
      </c>
      <c r="D4" s="11">
        <v>150</v>
      </c>
      <c r="F4" s="3">
        <v>1317.5500000000006</v>
      </c>
      <c r="H4" s="7">
        <v>5.3326666666666682</v>
      </c>
      <c r="J4" s="2" t="s">
        <v>22</v>
      </c>
      <c r="K4" s="4">
        <v>362.40000000000009</v>
      </c>
      <c r="N4" s="2" t="s">
        <v>13</v>
      </c>
      <c r="O4" s="11">
        <v>13</v>
      </c>
    </row>
    <row r="5" spans="1:15" x14ac:dyDescent="0.25">
      <c r="A5" s="2" t="s">
        <v>26</v>
      </c>
      <c r="B5" s="11">
        <v>15</v>
      </c>
      <c r="J5" s="2" t="s">
        <v>14</v>
      </c>
      <c r="K5" s="4">
        <v>425.20000000000027</v>
      </c>
      <c r="N5" s="2" t="s">
        <v>26</v>
      </c>
      <c r="O5" s="11">
        <v>15</v>
      </c>
    </row>
    <row r="6" spans="1:15" x14ac:dyDescent="0.25">
      <c r="A6" s="2" t="s">
        <v>31</v>
      </c>
      <c r="B6" s="11">
        <v>15</v>
      </c>
      <c r="D6">
        <f>GETPIVOTDATA("Season",$D$3)</f>
        <v>150</v>
      </c>
      <c r="F6" s="5">
        <f>GETPIVOTDATA("Price(USD)",$F$3)</f>
        <v>1317.5500000000006</v>
      </c>
      <c r="H6" s="6">
        <f>GETPIVOTDATA("Popularity_Score",$H$3)</f>
        <v>5.3326666666666682</v>
      </c>
      <c r="J6" s="2" t="s">
        <v>10</v>
      </c>
      <c r="K6" s="4">
        <v>529.94999999999993</v>
      </c>
      <c r="N6" s="2" t="s">
        <v>31</v>
      </c>
      <c r="O6" s="11">
        <v>15</v>
      </c>
    </row>
    <row r="7" spans="1:15" x14ac:dyDescent="0.25">
      <c r="A7" s="2" t="s">
        <v>16</v>
      </c>
      <c r="B7" s="11">
        <v>11</v>
      </c>
      <c r="J7" s="2" t="s">
        <v>33</v>
      </c>
      <c r="K7" s="4">
        <v>1317.5500000000002</v>
      </c>
      <c r="N7" s="2" t="s">
        <v>16</v>
      </c>
      <c r="O7" s="11">
        <v>11</v>
      </c>
    </row>
    <row r="8" spans="1:15" x14ac:dyDescent="0.25">
      <c r="A8" s="2" t="s">
        <v>24</v>
      </c>
      <c r="B8" s="11">
        <v>16</v>
      </c>
      <c r="N8" s="2" t="s">
        <v>24</v>
      </c>
      <c r="O8" s="11">
        <v>16</v>
      </c>
    </row>
    <row r="9" spans="1:15" x14ac:dyDescent="0.25">
      <c r="A9" s="2" t="s">
        <v>17</v>
      </c>
      <c r="B9" s="11">
        <v>19</v>
      </c>
      <c r="F9" s="3" t="s">
        <v>40</v>
      </c>
      <c r="J9" s="1" t="s">
        <v>32</v>
      </c>
      <c r="K9" t="s">
        <v>37</v>
      </c>
      <c r="N9" s="2" t="s">
        <v>17</v>
      </c>
      <c r="O9" s="11">
        <v>19</v>
      </c>
    </row>
    <row r="10" spans="1:15" x14ac:dyDescent="0.25">
      <c r="A10" s="2" t="s">
        <v>9</v>
      </c>
      <c r="B10" s="11">
        <v>21</v>
      </c>
      <c r="F10" s="12">
        <v>8.7836666666666705</v>
      </c>
      <c r="J10" s="2" t="s">
        <v>22</v>
      </c>
      <c r="K10" s="11">
        <v>47</v>
      </c>
      <c r="N10" s="2" t="s">
        <v>9</v>
      </c>
      <c r="O10" s="11">
        <v>21</v>
      </c>
    </row>
    <row r="11" spans="1:15" x14ac:dyDescent="0.25">
      <c r="A11" s="2" t="s">
        <v>18</v>
      </c>
      <c r="B11" s="11">
        <v>12</v>
      </c>
      <c r="J11" s="2" t="s">
        <v>14</v>
      </c>
      <c r="K11" s="11">
        <v>48</v>
      </c>
      <c r="N11" s="2" t="s">
        <v>18</v>
      </c>
      <c r="O11" s="11">
        <v>12</v>
      </c>
    </row>
    <row r="12" spans="1:15" x14ac:dyDescent="0.25">
      <c r="A12" s="2" t="s">
        <v>28</v>
      </c>
      <c r="B12" s="11">
        <v>15</v>
      </c>
      <c r="F12" s="9">
        <f>GETPIVOTDATA("Price(USD)",$F$9)</f>
        <v>8.7836666666666705</v>
      </c>
      <c r="J12" s="2" t="s">
        <v>10</v>
      </c>
      <c r="K12" s="11">
        <v>55</v>
      </c>
      <c r="N12" s="2" t="s">
        <v>28</v>
      </c>
      <c r="O12" s="11">
        <v>15</v>
      </c>
    </row>
    <row r="13" spans="1:15" x14ac:dyDescent="0.25">
      <c r="A13" s="2" t="s">
        <v>20</v>
      </c>
      <c r="B13" s="11">
        <v>13</v>
      </c>
      <c r="J13" s="2" t="s">
        <v>33</v>
      </c>
      <c r="K13" s="11">
        <v>150</v>
      </c>
      <c r="N13" s="2" t="s">
        <v>20</v>
      </c>
      <c r="O13" s="11">
        <v>13</v>
      </c>
    </row>
    <row r="14" spans="1:15" x14ac:dyDescent="0.25">
      <c r="A14" s="2" t="s">
        <v>33</v>
      </c>
      <c r="B14" s="11">
        <v>150</v>
      </c>
      <c r="N14" s="2" t="s">
        <v>33</v>
      </c>
      <c r="O14" s="11">
        <v>150</v>
      </c>
    </row>
    <row r="19" spans="14:18" x14ac:dyDescent="0.25">
      <c r="N19" s="1" t="s">
        <v>32</v>
      </c>
      <c r="O19" t="s">
        <v>35</v>
      </c>
      <c r="Q19" s="1" t="s">
        <v>32</v>
      </c>
      <c r="R19" t="s">
        <v>38</v>
      </c>
    </row>
    <row r="20" spans="14:18" x14ac:dyDescent="0.25">
      <c r="N20" s="2" t="s">
        <v>29</v>
      </c>
      <c r="O20" s="4">
        <v>119.14</v>
      </c>
      <c r="Q20" s="2" t="s">
        <v>29</v>
      </c>
      <c r="R20" s="8">
        <v>5.4357142857142851</v>
      </c>
    </row>
    <row r="21" spans="14:18" x14ac:dyDescent="0.25">
      <c r="N21" s="2" t="s">
        <v>27</v>
      </c>
      <c r="O21" s="4">
        <v>81.570000000000007</v>
      </c>
      <c r="Q21" s="2" t="s">
        <v>27</v>
      </c>
      <c r="R21" s="8">
        <v>4.8909090909090907</v>
      </c>
    </row>
    <row r="22" spans="14:18" x14ac:dyDescent="0.25">
      <c r="N22" s="2" t="s">
        <v>23</v>
      </c>
      <c r="O22" s="4">
        <v>136.53</v>
      </c>
      <c r="Q22" s="2" t="s">
        <v>23</v>
      </c>
      <c r="R22" s="8">
        <v>6.3437499999999991</v>
      </c>
    </row>
    <row r="23" spans="14:18" x14ac:dyDescent="0.25">
      <c r="N23" s="2" t="s">
        <v>25</v>
      </c>
      <c r="O23" s="4">
        <v>92.72999999999999</v>
      </c>
      <c r="Q23" s="2" t="s">
        <v>25</v>
      </c>
      <c r="R23" s="8">
        <v>4.953846153846154</v>
      </c>
    </row>
    <row r="24" spans="14:18" x14ac:dyDescent="0.25">
      <c r="N24" s="2" t="s">
        <v>21</v>
      </c>
      <c r="O24" s="4">
        <v>160.84000000000003</v>
      </c>
      <c r="Q24" s="2" t="s">
        <v>21</v>
      </c>
      <c r="R24" s="8">
        <v>5.5105263157894742</v>
      </c>
    </row>
    <row r="25" spans="14:18" x14ac:dyDescent="0.25">
      <c r="N25" s="2" t="s">
        <v>11</v>
      </c>
      <c r="O25" s="4">
        <v>115.83999999999999</v>
      </c>
      <c r="Q25" s="2" t="s">
        <v>11</v>
      </c>
      <c r="R25" s="8">
        <v>5.418181818181818</v>
      </c>
    </row>
    <row r="26" spans="14:18" x14ac:dyDescent="0.25">
      <c r="N26" s="2" t="s">
        <v>15</v>
      </c>
      <c r="O26" s="4">
        <v>159.44999999999999</v>
      </c>
      <c r="Q26" s="2" t="s">
        <v>15</v>
      </c>
      <c r="R26" s="8">
        <v>5.4470588235294111</v>
      </c>
    </row>
    <row r="27" spans="14:18" x14ac:dyDescent="0.25">
      <c r="N27" s="2" t="s">
        <v>30</v>
      </c>
      <c r="O27" s="4">
        <v>164.07999999999998</v>
      </c>
      <c r="Q27" s="2" t="s">
        <v>30</v>
      </c>
      <c r="R27" s="8">
        <v>5.3388888888888877</v>
      </c>
    </row>
    <row r="28" spans="14:18" x14ac:dyDescent="0.25">
      <c r="N28" s="2" t="s">
        <v>7</v>
      </c>
      <c r="O28" s="4">
        <v>121</v>
      </c>
      <c r="Q28" s="2" t="s">
        <v>7</v>
      </c>
      <c r="R28" s="8">
        <v>4.1923076923076925</v>
      </c>
    </row>
    <row r="29" spans="14:18" x14ac:dyDescent="0.25">
      <c r="N29" s="2" t="s">
        <v>19</v>
      </c>
      <c r="O29" s="4">
        <v>166.36999999999998</v>
      </c>
      <c r="Q29" s="2" t="s">
        <v>19</v>
      </c>
      <c r="R29" s="8">
        <v>5.3666666666666654</v>
      </c>
    </row>
    <row r="30" spans="14:18" x14ac:dyDescent="0.25">
      <c r="N30" s="2" t="s">
        <v>33</v>
      </c>
      <c r="O30" s="4">
        <v>1317.55</v>
      </c>
      <c r="Q30" s="2" t="s">
        <v>33</v>
      </c>
      <c r="R30" s="8">
        <v>5.3326666666666664</v>
      </c>
    </row>
  </sheetData>
  <pageMargins left="0.7" right="0.7" top="0.75" bottom="0.75" header="0.3" footer="0.3"/>
  <pageSetup orientation="portrait" horizontalDpi="4294967295" verticalDpi="4294967295"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3F50-0F48-4D96-B29B-7BA0DDACB830}">
  <dimension ref="A1"/>
  <sheetViews>
    <sheetView showGridLines="0" tabSelected="1" zoomScale="75" zoomScaleNormal="75" workbookViewId="0">
      <selection activeCell="Y35" sqref="Y35"/>
    </sheetView>
  </sheetViews>
  <sheetFormatPr defaultRowHeight="15" x14ac:dyDescent="0.25"/>
  <cols>
    <col min="1" max="16384" width="9.140625" style="10"/>
  </cols>
  <sheetData/>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
  <sheetViews>
    <sheetView workbookViewId="0">
      <selection activeCell="J17" sqref="J17"/>
    </sheetView>
  </sheetViews>
  <sheetFormatPr defaultRowHeight="15" x14ac:dyDescent="0.25"/>
  <cols>
    <col min="2" max="2" width="13.5703125" bestFit="1" customWidth="1"/>
    <col min="3" max="3" width="7.42578125" customWidth="1"/>
    <col min="4" max="4" width="11.42578125" bestFit="1" customWidth="1"/>
    <col min="5" max="5" width="11.5703125" bestFit="1" customWidth="1"/>
    <col min="6" max="6" width="12.7109375" customWidth="1"/>
    <col min="7" max="7" width="18.140625" customWidth="1"/>
  </cols>
  <sheetData>
    <row r="1" spans="1:7" x14ac:dyDescent="0.25">
      <c r="A1" t="s">
        <v>0</v>
      </c>
      <c r="B1" t="s">
        <v>1</v>
      </c>
      <c r="C1" t="s">
        <v>2</v>
      </c>
      <c r="D1" t="s">
        <v>3</v>
      </c>
      <c r="E1" t="s">
        <v>4</v>
      </c>
      <c r="F1" t="s">
        <v>5</v>
      </c>
      <c r="G1" t="s">
        <v>6</v>
      </c>
    </row>
    <row r="2" spans="1:7" hidden="1" x14ac:dyDescent="0.25">
      <c r="A2">
        <v>1</v>
      </c>
      <c r="B2" t="s">
        <v>7</v>
      </c>
      <c r="C2" t="s">
        <v>8</v>
      </c>
      <c r="D2" t="s">
        <v>9</v>
      </c>
      <c r="E2" t="s">
        <v>10</v>
      </c>
      <c r="F2">
        <v>5.97</v>
      </c>
      <c r="G2">
        <v>7.5</v>
      </c>
    </row>
    <row r="3" spans="1:7" hidden="1" x14ac:dyDescent="0.25">
      <c r="A3">
        <v>2</v>
      </c>
      <c r="B3" t="s">
        <v>11</v>
      </c>
      <c r="C3" t="s">
        <v>12</v>
      </c>
      <c r="D3" t="s">
        <v>13</v>
      </c>
      <c r="E3" t="s">
        <v>14</v>
      </c>
      <c r="F3">
        <v>12.54</v>
      </c>
      <c r="G3">
        <v>4.7</v>
      </c>
    </row>
    <row r="4" spans="1:7" hidden="1" x14ac:dyDescent="0.25">
      <c r="A4">
        <v>3</v>
      </c>
      <c r="B4" t="s">
        <v>15</v>
      </c>
      <c r="C4" t="s">
        <v>8</v>
      </c>
      <c r="D4" t="s">
        <v>16</v>
      </c>
      <c r="E4" t="s">
        <v>14</v>
      </c>
      <c r="F4">
        <v>12.43</v>
      </c>
      <c r="G4">
        <v>8.5</v>
      </c>
    </row>
    <row r="5" spans="1:7" hidden="1" x14ac:dyDescent="0.25">
      <c r="A5">
        <v>4</v>
      </c>
      <c r="B5" t="s">
        <v>15</v>
      </c>
      <c r="C5" t="s">
        <v>12</v>
      </c>
      <c r="D5" t="s">
        <v>17</v>
      </c>
      <c r="E5" t="s">
        <v>10</v>
      </c>
      <c r="F5">
        <v>14.26</v>
      </c>
      <c r="G5">
        <v>3.2</v>
      </c>
    </row>
    <row r="6" spans="1:7" hidden="1" x14ac:dyDescent="0.25">
      <c r="A6">
        <v>5</v>
      </c>
      <c r="B6" t="s">
        <v>7</v>
      </c>
      <c r="C6" t="s">
        <v>8</v>
      </c>
      <c r="D6" t="s">
        <v>18</v>
      </c>
      <c r="E6" t="s">
        <v>14</v>
      </c>
      <c r="F6">
        <v>14.31</v>
      </c>
      <c r="G6">
        <v>2.8</v>
      </c>
    </row>
    <row r="7" spans="1:7" hidden="1" x14ac:dyDescent="0.25">
      <c r="A7">
        <v>6</v>
      </c>
      <c r="B7" t="s">
        <v>19</v>
      </c>
      <c r="C7" t="s">
        <v>12</v>
      </c>
      <c r="D7" t="s">
        <v>20</v>
      </c>
      <c r="E7" t="s">
        <v>10</v>
      </c>
      <c r="F7">
        <v>8.16</v>
      </c>
      <c r="G7">
        <v>9.1999999999999993</v>
      </c>
    </row>
    <row r="8" spans="1:7" x14ac:dyDescent="0.25">
      <c r="A8">
        <v>7</v>
      </c>
      <c r="B8" t="s">
        <v>21</v>
      </c>
      <c r="C8" t="s">
        <v>19</v>
      </c>
      <c r="D8" t="s">
        <v>16</v>
      </c>
      <c r="E8" t="s">
        <v>22</v>
      </c>
      <c r="F8">
        <v>10.45</v>
      </c>
      <c r="G8">
        <v>9.1999999999999993</v>
      </c>
    </row>
    <row r="9" spans="1:7" x14ac:dyDescent="0.25">
      <c r="A9">
        <v>8</v>
      </c>
      <c r="B9" t="s">
        <v>7</v>
      </c>
      <c r="C9" t="s">
        <v>19</v>
      </c>
      <c r="D9" t="s">
        <v>18</v>
      </c>
      <c r="E9" t="s">
        <v>22</v>
      </c>
      <c r="F9">
        <v>3.9</v>
      </c>
      <c r="G9">
        <v>8.8000000000000007</v>
      </c>
    </row>
    <row r="10" spans="1:7" hidden="1" x14ac:dyDescent="0.25">
      <c r="A10">
        <v>9</v>
      </c>
      <c r="B10" t="s">
        <v>23</v>
      </c>
      <c r="C10" t="s">
        <v>12</v>
      </c>
      <c r="D10" t="s">
        <v>18</v>
      </c>
      <c r="E10" t="s">
        <v>10</v>
      </c>
      <c r="F10">
        <v>13.87</v>
      </c>
      <c r="G10">
        <v>8.6999999999999993</v>
      </c>
    </row>
    <row r="11" spans="1:7" hidden="1" x14ac:dyDescent="0.25">
      <c r="A11">
        <v>10</v>
      </c>
      <c r="B11" t="s">
        <v>11</v>
      </c>
      <c r="C11" t="s">
        <v>12</v>
      </c>
      <c r="D11" t="s">
        <v>24</v>
      </c>
      <c r="E11" t="s">
        <v>14</v>
      </c>
      <c r="F11">
        <v>14.66</v>
      </c>
      <c r="G11">
        <v>2.9</v>
      </c>
    </row>
    <row r="12" spans="1:7" hidden="1" x14ac:dyDescent="0.25">
      <c r="A12">
        <v>11</v>
      </c>
      <c r="B12" t="s">
        <v>19</v>
      </c>
      <c r="C12" t="s">
        <v>12</v>
      </c>
      <c r="D12" t="s">
        <v>13</v>
      </c>
      <c r="E12" t="s">
        <v>14</v>
      </c>
      <c r="F12">
        <v>3.09</v>
      </c>
      <c r="G12">
        <v>1.7</v>
      </c>
    </row>
    <row r="13" spans="1:7" hidden="1" x14ac:dyDescent="0.25">
      <c r="A13">
        <v>12</v>
      </c>
      <c r="B13" t="s">
        <v>21</v>
      </c>
      <c r="C13" t="s">
        <v>12</v>
      </c>
      <c r="D13" t="s">
        <v>16</v>
      </c>
      <c r="E13" t="s">
        <v>14</v>
      </c>
      <c r="F13">
        <v>12.9</v>
      </c>
      <c r="G13">
        <v>8.5</v>
      </c>
    </row>
    <row r="14" spans="1:7" x14ac:dyDescent="0.25">
      <c r="A14">
        <v>13</v>
      </c>
      <c r="B14" t="s">
        <v>7</v>
      </c>
      <c r="C14" t="s">
        <v>8</v>
      </c>
      <c r="D14" t="s">
        <v>17</v>
      </c>
      <c r="E14" t="s">
        <v>22</v>
      </c>
      <c r="F14">
        <v>6</v>
      </c>
      <c r="G14">
        <v>2.7</v>
      </c>
    </row>
    <row r="15" spans="1:7" x14ac:dyDescent="0.25">
      <c r="A15">
        <v>14</v>
      </c>
      <c r="B15" t="s">
        <v>25</v>
      </c>
      <c r="C15" t="s">
        <v>8</v>
      </c>
      <c r="D15" t="s">
        <v>26</v>
      </c>
      <c r="E15" t="s">
        <v>22</v>
      </c>
      <c r="F15">
        <v>5.9</v>
      </c>
      <c r="G15">
        <v>2.2999999999999998</v>
      </c>
    </row>
    <row r="16" spans="1:7" hidden="1" x14ac:dyDescent="0.25">
      <c r="A16">
        <v>15</v>
      </c>
      <c r="B16" t="s">
        <v>19</v>
      </c>
      <c r="C16" t="s">
        <v>12</v>
      </c>
      <c r="D16" t="s">
        <v>16</v>
      </c>
      <c r="E16" t="s">
        <v>10</v>
      </c>
      <c r="F16">
        <v>6.36</v>
      </c>
      <c r="G16">
        <v>1.5</v>
      </c>
    </row>
    <row r="17" spans="1:7" hidden="1" x14ac:dyDescent="0.25">
      <c r="A17">
        <v>16</v>
      </c>
      <c r="B17" t="s">
        <v>7</v>
      </c>
      <c r="C17" t="s">
        <v>19</v>
      </c>
      <c r="D17" t="s">
        <v>16</v>
      </c>
      <c r="E17" t="s">
        <v>10</v>
      </c>
      <c r="F17">
        <v>13</v>
      </c>
      <c r="G17">
        <v>3.3</v>
      </c>
    </row>
    <row r="18" spans="1:7" x14ac:dyDescent="0.25">
      <c r="A18">
        <v>17</v>
      </c>
      <c r="B18" t="s">
        <v>27</v>
      </c>
      <c r="C18" t="s">
        <v>12</v>
      </c>
      <c r="D18" t="s">
        <v>9</v>
      </c>
      <c r="E18" t="s">
        <v>22</v>
      </c>
      <c r="F18">
        <v>3.92</v>
      </c>
      <c r="G18">
        <v>4.8</v>
      </c>
    </row>
    <row r="19" spans="1:7" x14ac:dyDescent="0.25">
      <c r="A19">
        <v>18</v>
      </c>
      <c r="B19" t="s">
        <v>11</v>
      </c>
      <c r="C19" t="s">
        <v>19</v>
      </c>
      <c r="D19" t="s">
        <v>20</v>
      </c>
      <c r="E19" t="s">
        <v>22</v>
      </c>
      <c r="F19">
        <v>7.36</v>
      </c>
      <c r="G19">
        <v>4.2</v>
      </c>
    </row>
    <row r="20" spans="1:7" x14ac:dyDescent="0.25">
      <c r="A20">
        <v>19</v>
      </c>
      <c r="B20" t="s">
        <v>23</v>
      </c>
      <c r="C20" t="s">
        <v>19</v>
      </c>
      <c r="D20" t="s">
        <v>28</v>
      </c>
      <c r="E20" t="s">
        <v>22</v>
      </c>
      <c r="F20">
        <v>2.5299999999999998</v>
      </c>
      <c r="G20">
        <v>6.7</v>
      </c>
    </row>
    <row r="21" spans="1:7" hidden="1" x14ac:dyDescent="0.25">
      <c r="A21">
        <v>20</v>
      </c>
      <c r="B21" t="s">
        <v>27</v>
      </c>
      <c r="C21" t="s">
        <v>8</v>
      </c>
      <c r="D21" t="s">
        <v>9</v>
      </c>
      <c r="E21" t="s">
        <v>10</v>
      </c>
      <c r="F21">
        <v>14.56</v>
      </c>
      <c r="G21">
        <v>8.9</v>
      </c>
    </row>
    <row r="22" spans="1:7" hidden="1" x14ac:dyDescent="0.25">
      <c r="A22">
        <v>21</v>
      </c>
      <c r="B22" t="s">
        <v>29</v>
      </c>
      <c r="C22" t="s">
        <v>12</v>
      </c>
      <c r="D22" t="s">
        <v>20</v>
      </c>
      <c r="E22" t="s">
        <v>10</v>
      </c>
      <c r="F22">
        <v>6.9</v>
      </c>
      <c r="G22">
        <v>6.8</v>
      </c>
    </row>
    <row r="23" spans="1:7" hidden="1" x14ac:dyDescent="0.25">
      <c r="A23">
        <v>22</v>
      </c>
      <c r="B23" t="s">
        <v>30</v>
      </c>
      <c r="C23" t="s">
        <v>19</v>
      </c>
      <c r="D23" t="s">
        <v>16</v>
      </c>
      <c r="E23" t="s">
        <v>10</v>
      </c>
      <c r="F23">
        <v>13.73</v>
      </c>
      <c r="G23">
        <v>1.3</v>
      </c>
    </row>
    <row r="24" spans="1:7" hidden="1" x14ac:dyDescent="0.25">
      <c r="A24">
        <v>23</v>
      </c>
      <c r="B24" t="s">
        <v>19</v>
      </c>
      <c r="C24" t="s">
        <v>12</v>
      </c>
      <c r="D24" t="s">
        <v>31</v>
      </c>
      <c r="E24" t="s">
        <v>10</v>
      </c>
      <c r="F24">
        <v>14.28</v>
      </c>
      <c r="G24">
        <v>1.1000000000000001</v>
      </c>
    </row>
    <row r="25" spans="1:7" hidden="1" x14ac:dyDescent="0.25">
      <c r="A25">
        <v>24</v>
      </c>
      <c r="B25" t="s">
        <v>30</v>
      </c>
      <c r="C25" t="s">
        <v>8</v>
      </c>
      <c r="D25" t="s">
        <v>17</v>
      </c>
      <c r="E25" t="s">
        <v>10</v>
      </c>
      <c r="F25">
        <v>12.33</v>
      </c>
      <c r="G25">
        <v>5.8</v>
      </c>
    </row>
    <row r="26" spans="1:7" hidden="1" x14ac:dyDescent="0.25">
      <c r="A26">
        <v>25</v>
      </c>
      <c r="B26" t="s">
        <v>30</v>
      </c>
      <c r="C26" t="s">
        <v>19</v>
      </c>
      <c r="D26" t="s">
        <v>18</v>
      </c>
      <c r="E26" t="s">
        <v>10</v>
      </c>
      <c r="F26">
        <v>10.210000000000001</v>
      </c>
      <c r="G26">
        <v>3.2</v>
      </c>
    </row>
    <row r="27" spans="1:7" hidden="1" x14ac:dyDescent="0.25">
      <c r="A27">
        <v>26</v>
      </c>
      <c r="B27" t="s">
        <v>15</v>
      </c>
      <c r="C27" t="s">
        <v>8</v>
      </c>
      <c r="D27" t="s">
        <v>24</v>
      </c>
      <c r="E27" t="s">
        <v>10</v>
      </c>
      <c r="F27">
        <v>12.01</v>
      </c>
      <c r="G27">
        <v>6.4</v>
      </c>
    </row>
    <row r="28" spans="1:7" hidden="1" x14ac:dyDescent="0.25">
      <c r="A28">
        <v>27</v>
      </c>
      <c r="B28" t="s">
        <v>23</v>
      </c>
      <c r="C28" t="s">
        <v>12</v>
      </c>
      <c r="D28" t="s">
        <v>24</v>
      </c>
      <c r="E28" t="s">
        <v>14</v>
      </c>
      <c r="F28">
        <v>9.67</v>
      </c>
      <c r="G28">
        <v>3.1</v>
      </c>
    </row>
    <row r="29" spans="1:7" hidden="1" x14ac:dyDescent="0.25">
      <c r="A29">
        <v>28</v>
      </c>
      <c r="B29" t="s">
        <v>30</v>
      </c>
      <c r="C29" t="s">
        <v>19</v>
      </c>
      <c r="D29" t="s">
        <v>16</v>
      </c>
      <c r="E29" t="s">
        <v>14</v>
      </c>
      <c r="F29">
        <v>4.8</v>
      </c>
      <c r="G29">
        <v>6.7</v>
      </c>
    </row>
    <row r="30" spans="1:7" x14ac:dyDescent="0.25">
      <c r="A30">
        <v>29</v>
      </c>
      <c r="B30" t="s">
        <v>21</v>
      </c>
      <c r="C30" t="s">
        <v>12</v>
      </c>
      <c r="D30" t="s">
        <v>28</v>
      </c>
      <c r="E30" t="s">
        <v>22</v>
      </c>
      <c r="F30">
        <v>8.34</v>
      </c>
      <c r="G30">
        <v>1.1000000000000001</v>
      </c>
    </row>
    <row r="31" spans="1:7" hidden="1" x14ac:dyDescent="0.25">
      <c r="A31">
        <v>30</v>
      </c>
      <c r="B31" t="s">
        <v>11</v>
      </c>
      <c r="C31" t="s">
        <v>8</v>
      </c>
      <c r="D31" t="s">
        <v>17</v>
      </c>
      <c r="E31" t="s">
        <v>14</v>
      </c>
      <c r="F31">
        <v>4.32</v>
      </c>
      <c r="G31">
        <v>6.1</v>
      </c>
    </row>
    <row r="32" spans="1:7" x14ac:dyDescent="0.25">
      <c r="A32">
        <v>31</v>
      </c>
      <c r="B32" t="s">
        <v>21</v>
      </c>
      <c r="C32" t="s">
        <v>12</v>
      </c>
      <c r="D32" t="s">
        <v>26</v>
      </c>
      <c r="E32" t="s">
        <v>22</v>
      </c>
      <c r="F32">
        <v>10.48</v>
      </c>
      <c r="G32">
        <v>4.5999999999999996</v>
      </c>
    </row>
    <row r="33" spans="1:7" hidden="1" x14ac:dyDescent="0.25">
      <c r="A33">
        <v>32</v>
      </c>
      <c r="B33" t="s">
        <v>27</v>
      </c>
      <c r="C33" t="s">
        <v>8</v>
      </c>
      <c r="D33" t="s">
        <v>31</v>
      </c>
      <c r="E33" t="s">
        <v>10</v>
      </c>
      <c r="F33">
        <v>8.69</v>
      </c>
      <c r="G33">
        <v>3.9</v>
      </c>
    </row>
    <row r="34" spans="1:7" hidden="1" x14ac:dyDescent="0.25">
      <c r="A34">
        <v>33</v>
      </c>
      <c r="B34" t="s">
        <v>23</v>
      </c>
      <c r="C34" t="s">
        <v>19</v>
      </c>
      <c r="D34" t="s">
        <v>28</v>
      </c>
      <c r="E34" t="s">
        <v>14</v>
      </c>
      <c r="F34">
        <v>3.29</v>
      </c>
      <c r="G34">
        <v>7.9</v>
      </c>
    </row>
    <row r="35" spans="1:7" x14ac:dyDescent="0.25">
      <c r="A35">
        <v>34</v>
      </c>
      <c r="B35" t="s">
        <v>21</v>
      </c>
      <c r="C35" t="s">
        <v>8</v>
      </c>
      <c r="D35" t="s">
        <v>13</v>
      </c>
      <c r="E35" t="s">
        <v>22</v>
      </c>
      <c r="F35">
        <v>3.1</v>
      </c>
      <c r="G35">
        <v>8.9</v>
      </c>
    </row>
    <row r="36" spans="1:7" hidden="1" x14ac:dyDescent="0.25">
      <c r="A36">
        <v>35</v>
      </c>
      <c r="B36" t="s">
        <v>21</v>
      </c>
      <c r="C36" t="s">
        <v>8</v>
      </c>
      <c r="D36" t="s">
        <v>9</v>
      </c>
      <c r="E36" t="s">
        <v>10</v>
      </c>
      <c r="F36">
        <v>10.7</v>
      </c>
      <c r="G36">
        <v>2.2999999999999998</v>
      </c>
    </row>
    <row r="37" spans="1:7" hidden="1" x14ac:dyDescent="0.25">
      <c r="A37">
        <v>36</v>
      </c>
      <c r="B37" t="s">
        <v>21</v>
      </c>
      <c r="C37" t="s">
        <v>12</v>
      </c>
      <c r="D37" t="s">
        <v>24</v>
      </c>
      <c r="E37" t="s">
        <v>10</v>
      </c>
      <c r="F37">
        <v>14.42</v>
      </c>
      <c r="G37">
        <v>2.8</v>
      </c>
    </row>
    <row r="38" spans="1:7" x14ac:dyDescent="0.25">
      <c r="A38">
        <v>37</v>
      </c>
      <c r="B38" t="s">
        <v>29</v>
      </c>
      <c r="C38" t="s">
        <v>19</v>
      </c>
      <c r="D38" t="s">
        <v>18</v>
      </c>
      <c r="E38" t="s">
        <v>22</v>
      </c>
      <c r="F38">
        <v>14.53</v>
      </c>
      <c r="G38">
        <v>5</v>
      </c>
    </row>
    <row r="39" spans="1:7" hidden="1" x14ac:dyDescent="0.25">
      <c r="A39">
        <v>38</v>
      </c>
      <c r="B39" t="s">
        <v>23</v>
      </c>
      <c r="C39" t="s">
        <v>12</v>
      </c>
      <c r="D39" t="s">
        <v>18</v>
      </c>
      <c r="E39" t="s">
        <v>10</v>
      </c>
      <c r="F39">
        <v>7.15</v>
      </c>
      <c r="G39">
        <v>9.9</v>
      </c>
    </row>
    <row r="40" spans="1:7" hidden="1" x14ac:dyDescent="0.25">
      <c r="A40">
        <v>39</v>
      </c>
      <c r="B40" t="s">
        <v>30</v>
      </c>
      <c r="C40" t="s">
        <v>12</v>
      </c>
      <c r="D40" t="s">
        <v>26</v>
      </c>
      <c r="E40" t="s">
        <v>10</v>
      </c>
      <c r="F40">
        <v>14.36</v>
      </c>
      <c r="G40">
        <v>7.9</v>
      </c>
    </row>
    <row r="41" spans="1:7" hidden="1" x14ac:dyDescent="0.25">
      <c r="A41">
        <v>40</v>
      </c>
      <c r="B41" t="s">
        <v>30</v>
      </c>
      <c r="C41" t="s">
        <v>12</v>
      </c>
      <c r="D41" t="s">
        <v>18</v>
      </c>
      <c r="E41" t="s">
        <v>14</v>
      </c>
      <c r="F41">
        <v>2.29</v>
      </c>
      <c r="G41">
        <v>4.4000000000000004</v>
      </c>
    </row>
    <row r="42" spans="1:7" hidden="1" x14ac:dyDescent="0.25">
      <c r="A42">
        <v>41</v>
      </c>
      <c r="B42" t="s">
        <v>19</v>
      </c>
      <c r="C42" t="s">
        <v>12</v>
      </c>
      <c r="D42" t="s">
        <v>9</v>
      </c>
      <c r="E42" t="s">
        <v>14</v>
      </c>
      <c r="F42">
        <v>3.09</v>
      </c>
      <c r="G42">
        <v>5.7</v>
      </c>
    </row>
    <row r="43" spans="1:7" x14ac:dyDescent="0.25">
      <c r="A43">
        <v>42</v>
      </c>
      <c r="B43" t="s">
        <v>21</v>
      </c>
      <c r="C43" t="s">
        <v>19</v>
      </c>
      <c r="D43" t="s">
        <v>17</v>
      </c>
      <c r="E43" t="s">
        <v>22</v>
      </c>
      <c r="F43">
        <v>10.33</v>
      </c>
      <c r="G43">
        <v>2.7</v>
      </c>
    </row>
    <row r="44" spans="1:7" hidden="1" x14ac:dyDescent="0.25">
      <c r="A44">
        <v>43</v>
      </c>
      <c r="B44" t="s">
        <v>29</v>
      </c>
      <c r="C44" t="s">
        <v>19</v>
      </c>
      <c r="D44" t="s">
        <v>26</v>
      </c>
      <c r="E44" t="s">
        <v>14</v>
      </c>
      <c r="F44">
        <v>6.19</v>
      </c>
      <c r="G44">
        <v>1.4</v>
      </c>
    </row>
    <row r="45" spans="1:7" x14ac:dyDescent="0.25">
      <c r="A45">
        <v>44</v>
      </c>
      <c r="B45" t="s">
        <v>29</v>
      </c>
      <c r="C45" t="s">
        <v>19</v>
      </c>
      <c r="D45" t="s">
        <v>17</v>
      </c>
      <c r="E45" t="s">
        <v>22</v>
      </c>
      <c r="F45">
        <v>12.33</v>
      </c>
      <c r="G45">
        <v>5.6</v>
      </c>
    </row>
    <row r="46" spans="1:7" hidden="1" x14ac:dyDescent="0.25">
      <c r="A46">
        <v>45</v>
      </c>
      <c r="B46" t="s">
        <v>23</v>
      </c>
      <c r="C46" t="s">
        <v>8</v>
      </c>
      <c r="D46" t="s">
        <v>20</v>
      </c>
      <c r="E46" t="s">
        <v>10</v>
      </c>
      <c r="F46">
        <v>10.69</v>
      </c>
      <c r="G46">
        <v>9.8000000000000007</v>
      </c>
    </row>
    <row r="47" spans="1:7" x14ac:dyDescent="0.25">
      <c r="A47">
        <v>46</v>
      </c>
      <c r="B47" t="s">
        <v>7</v>
      </c>
      <c r="C47" t="s">
        <v>8</v>
      </c>
      <c r="D47" t="s">
        <v>13</v>
      </c>
      <c r="E47" t="s">
        <v>22</v>
      </c>
      <c r="F47">
        <v>13.35</v>
      </c>
      <c r="G47">
        <v>3.6</v>
      </c>
    </row>
    <row r="48" spans="1:7" hidden="1" x14ac:dyDescent="0.25">
      <c r="A48">
        <v>47</v>
      </c>
      <c r="B48" t="s">
        <v>23</v>
      </c>
      <c r="C48" t="s">
        <v>12</v>
      </c>
      <c r="D48" t="s">
        <v>9</v>
      </c>
      <c r="E48" t="s">
        <v>14</v>
      </c>
      <c r="F48">
        <v>11.85</v>
      </c>
      <c r="G48">
        <v>8.9</v>
      </c>
    </row>
    <row r="49" spans="1:7" hidden="1" x14ac:dyDescent="0.25">
      <c r="A49">
        <v>48</v>
      </c>
      <c r="B49" t="s">
        <v>29</v>
      </c>
      <c r="C49" t="s">
        <v>8</v>
      </c>
      <c r="D49" t="s">
        <v>24</v>
      </c>
      <c r="E49" t="s">
        <v>14</v>
      </c>
      <c r="F49">
        <v>4.62</v>
      </c>
      <c r="G49">
        <v>5</v>
      </c>
    </row>
    <row r="50" spans="1:7" hidden="1" x14ac:dyDescent="0.25">
      <c r="A50">
        <v>49</v>
      </c>
      <c r="B50" t="s">
        <v>7</v>
      </c>
      <c r="C50" t="s">
        <v>19</v>
      </c>
      <c r="D50" t="s">
        <v>28</v>
      </c>
      <c r="E50" t="s">
        <v>14</v>
      </c>
      <c r="F50">
        <v>13.29</v>
      </c>
      <c r="G50">
        <v>2.8</v>
      </c>
    </row>
    <row r="51" spans="1:7" hidden="1" x14ac:dyDescent="0.25">
      <c r="A51">
        <v>50</v>
      </c>
      <c r="B51" t="s">
        <v>19</v>
      </c>
      <c r="C51" t="s">
        <v>12</v>
      </c>
      <c r="D51" t="s">
        <v>20</v>
      </c>
      <c r="E51" t="s">
        <v>14</v>
      </c>
      <c r="F51">
        <v>13.74</v>
      </c>
      <c r="G51">
        <v>8.3000000000000007</v>
      </c>
    </row>
    <row r="52" spans="1:7" hidden="1" x14ac:dyDescent="0.25">
      <c r="A52">
        <v>51</v>
      </c>
      <c r="B52" t="s">
        <v>27</v>
      </c>
      <c r="C52" t="s">
        <v>19</v>
      </c>
      <c r="D52" t="s">
        <v>17</v>
      </c>
      <c r="E52" t="s">
        <v>14</v>
      </c>
      <c r="F52">
        <v>9.06</v>
      </c>
      <c r="G52">
        <v>1.6</v>
      </c>
    </row>
    <row r="53" spans="1:7" hidden="1" x14ac:dyDescent="0.25">
      <c r="A53">
        <v>52</v>
      </c>
      <c r="B53" t="s">
        <v>25</v>
      </c>
      <c r="C53" t="s">
        <v>19</v>
      </c>
      <c r="D53" t="s">
        <v>26</v>
      </c>
      <c r="E53" t="s">
        <v>14</v>
      </c>
      <c r="F53">
        <v>4.34</v>
      </c>
      <c r="G53">
        <v>2.2000000000000002</v>
      </c>
    </row>
    <row r="54" spans="1:7" hidden="1" x14ac:dyDescent="0.25">
      <c r="A54">
        <v>53</v>
      </c>
      <c r="B54" t="s">
        <v>11</v>
      </c>
      <c r="C54" t="s">
        <v>8</v>
      </c>
      <c r="D54" t="s">
        <v>24</v>
      </c>
      <c r="E54" t="s">
        <v>10</v>
      </c>
      <c r="F54">
        <v>12.34</v>
      </c>
      <c r="G54">
        <v>2.2000000000000002</v>
      </c>
    </row>
    <row r="55" spans="1:7" hidden="1" x14ac:dyDescent="0.25">
      <c r="A55">
        <v>54</v>
      </c>
      <c r="B55" t="s">
        <v>11</v>
      </c>
      <c r="C55" t="s">
        <v>12</v>
      </c>
      <c r="D55" t="s">
        <v>24</v>
      </c>
      <c r="E55" t="s">
        <v>14</v>
      </c>
      <c r="F55">
        <v>12.58</v>
      </c>
      <c r="G55">
        <v>4.4000000000000004</v>
      </c>
    </row>
    <row r="56" spans="1:7" x14ac:dyDescent="0.25">
      <c r="A56">
        <v>55</v>
      </c>
      <c r="B56" t="s">
        <v>23</v>
      </c>
      <c r="C56" t="s">
        <v>19</v>
      </c>
      <c r="D56" t="s">
        <v>9</v>
      </c>
      <c r="E56" t="s">
        <v>22</v>
      </c>
      <c r="F56">
        <v>3.51</v>
      </c>
      <c r="G56">
        <v>3.9</v>
      </c>
    </row>
    <row r="57" spans="1:7" hidden="1" x14ac:dyDescent="0.25">
      <c r="A57">
        <v>56</v>
      </c>
      <c r="B57" t="s">
        <v>11</v>
      </c>
      <c r="C57" t="s">
        <v>19</v>
      </c>
      <c r="D57" t="s">
        <v>17</v>
      </c>
      <c r="E57" t="s">
        <v>10</v>
      </c>
      <c r="F57">
        <v>8.1199999999999992</v>
      </c>
      <c r="G57">
        <v>6.9</v>
      </c>
    </row>
    <row r="58" spans="1:7" hidden="1" x14ac:dyDescent="0.25">
      <c r="A58">
        <v>57</v>
      </c>
      <c r="B58" t="s">
        <v>30</v>
      </c>
      <c r="C58" t="s">
        <v>12</v>
      </c>
      <c r="D58" t="s">
        <v>9</v>
      </c>
      <c r="E58" t="s">
        <v>14</v>
      </c>
      <c r="F58">
        <v>8.5500000000000007</v>
      </c>
      <c r="G58">
        <v>7.8</v>
      </c>
    </row>
    <row r="59" spans="1:7" x14ac:dyDescent="0.25">
      <c r="A59">
        <v>58</v>
      </c>
      <c r="B59" t="s">
        <v>19</v>
      </c>
      <c r="C59" t="s">
        <v>8</v>
      </c>
      <c r="D59" t="s">
        <v>28</v>
      </c>
      <c r="E59" t="s">
        <v>22</v>
      </c>
      <c r="F59">
        <v>8.6999999999999993</v>
      </c>
      <c r="G59">
        <v>1.2</v>
      </c>
    </row>
    <row r="60" spans="1:7" hidden="1" x14ac:dyDescent="0.25">
      <c r="A60">
        <v>59</v>
      </c>
      <c r="B60" t="s">
        <v>25</v>
      </c>
      <c r="C60" t="s">
        <v>19</v>
      </c>
      <c r="D60" t="s">
        <v>13</v>
      </c>
      <c r="E60" t="s">
        <v>10</v>
      </c>
      <c r="F60">
        <v>14.28</v>
      </c>
      <c r="G60">
        <v>9.5</v>
      </c>
    </row>
    <row r="61" spans="1:7" x14ac:dyDescent="0.25">
      <c r="A61">
        <v>60</v>
      </c>
      <c r="B61" t="s">
        <v>29</v>
      </c>
      <c r="C61" t="s">
        <v>8</v>
      </c>
      <c r="D61" t="s">
        <v>9</v>
      </c>
      <c r="E61" t="s">
        <v>22</v>
      </c>
      <c r="F61">
        <v>7.41</v>
      </c>
      <c r="G61">
        <v>5.9</v>
      </c>
    </row>
    <row r="62" spans="1:7" x14ac:dyDescent="0.25">
      <c r="A62">
        <v>61</v>
      </c>
      <c r="B62" t="s">
        <v>15</v>
      </c>
      <c r="C62" t="s">
        <v>8</v>
      </c>
      <c r="D62" t="s">
        <v>31</v>
      </c>
      <c r="E62" t="s">
        <v>22</v>
      </c>
      <c r="F62">
        <v>14.9</v>
      </c>
      <c r="G62">
        <v>7.3</v>
      </c>
    </row>
    <row r="63" spans="1:7" hidden="1" x14ac:dyDescent="0.25">
      <c r="A63">
        <v>62</v>
      </c>
      <c r="B63" t="s">
        <v>30</v>
      </c>
      <c r="C63" t="s">
        <v>8</v>
      </c>
      <c r="D63" t="s">
        <v>31</v>
      </c>
      <c r="E63" t="s">
        <v>10</v>
      </c>
      <c r="F63">
        <v>5.4</v>
      </c>
      <c r="G63">
        <v>8.4</v>
      </c>
    </row>
    <row r="64" spans="1:7" hidden="1" x14ac:dyDescent="0.25">
      <c r="A64">
        <v>63</v>
      </c>
      <c r="B64" t="s">
        <v>21</v>
      </c>
      <c r="C64" t="s">
        <v>12</v>
      </c>
      <c r="D64" t="s">
        <v>9</v>
      </c>
      <c r="E64" t="s">
        <v>14</v>
      </c>
      <c r="F64">
        <v>4.6900000000000004</v>
      </c>
      <c r="G64">
        <v>3.1</v>
      </c>
    </row>
    <row r="65" spans="1:7" hidden="1" x14ac:dyDescent="0.25">
      <c r="A65">
        <v>64</v>
      </c>
      <c r="B65" t="s">
        <v>15</v>
      </c>
      <c r="C65" t="s">
        <v>19</v>
      </c>
      <c r="D65" t="s">
        <v>17</v>
      </c>
      <c r="E65" t="s">
        <v>10</v>
      </c>
      <c r="F65">
        <v>8.57</v>
      </c>
      <c r="G65">
        <v>4.7</v>
      </c>
    </row>
    <row r="66" spans="1:7" hidden="1" x14ac:dyDescent="0.25">
      <c r="A66">
        <v>65</v>
      </c>
      <c r="B66" t="s">
        <v>19</v>
      </c>
      <c r="C66" t="s">
        <v>12</v>
      </c>
      <c r="D66" t="s">
        <v>31</v>
      </c>
      <c r="E66" t="s">
        <v>10</v>
      </c>
      <c r="F66">
        <v>14.94</v>
      </c>
      <c r="G66">
        <v>1.9</v>
      </c>
    </row>
    <row r="67" spans="1:7" hidden="1" x14ac:dyDescent="0.25">
      <c r="A67">
        <v>66</v>
      </c>
      <c r="B67" t="s">
        <v>19</v>
      </c>
      <c r="C67" t="s">
        <v>19</v>
      </c>
      <c r="D67" t="s">
        <v>24</v>
      </c>
      <c r="E67" t="s">
        <v>10</v>
      </c>
      <c r="F67">
        <v>5.4</v>
      </c>
      <c r="G67">
        <v>5.6</v>
      </c>
    </row>
    <row r="68" spans="1:7" x14ac:dyDescent="0.25">
      <c r="A68">
        <v>67</v>
      </c>
      <c r="B68" t="s">
        <v>30</v>
      </c>
      <c r="C68" t="s">
        <v>8</v>
      </c>
      <c r="D68" t="s">
        <v>26</v>
      </c>
      <c r="E68" t="s">
        <v>22</v>
      </c>
      <c r="F68">
        <v>8.6</v>
      </c>
      <c r="G68">
        <v>5.2</v>
      </c>
    </row>
    <row r="69" spans="1:7" hidden="1" x14ac:dyDescent="0.25">
      <c r="A69">
        <v>68</v>
      </c>
      <c r="B69" t="s">
        <v>11</v>
      </c>
      <c r="C69" t="s">
        <v>8</v>
      </c>
      <c r="D69" t="s">
        <v>26</v>
      </c>
      <c r="E69" t="s">
        <v>14</v>
      </c>
      <c r="F69">
        <v>9.14</v>
      </c>
      <c r="G69">
        <v>3.6</v>
      </c>
    </row>
    <row r="70" spans="1:7" hidden="1" x14ac:dyDescent="0.25">
      <c r="A70">
        <v>69</v>
      </c>
      <c r="B70" t="s">
        <v>29</v>
      </c>
      <c r="C70" t="s">
        <v>19</v>
      </c>
      <c r="D70" t="s">
        <v>13</v>
      </c>
      <c r="E70" t="s">
        <v>14</v>
      </c>
      <c r="F70">
        <v>9.09</v>
      </c>
      <c r="G70">
        <v>8.1999999999999993</v>
      </c>
    </row>
    <row r="71" spans="1:7" x14ac:dyDescent="0.25">
      <c r="A71">
        <v>70</v>
      </c>
      <c r="B71" t="s">
        <v>23</v>
      </c>
      <c r="C71" t="s">
        <v>19</v>
      </c>
      <c r="D71" t="s">
        <v>18</v>
      </c>
      <c r="E71" t="s">
        <v>22</v>
      </c>
      <c r="F71">
        <v>7.71</v>
      </c>
      <c r="G71">
        <v>7</v>
      </c>
    </row>
    <row r="72" spans="1:7" x14ac:dyDescent="0.25">
      <c r="A72">
        <v>71</v>
      </c>
      <c r="B72" t="s">
        <v>21</v>
      </c>
      <c r="C72" t="s">
        <v>12</v>
      </c>
      <c r="D72" t="s">
        <v>26</v>
      </c>
      <c r="E72" t="s">
        <v>22</v>
      </c>
      <c r="F72">
        <v>8.4</v>
      </c>
      <c r="G72">
        <v>9.6999999999999993</v>
      </c>
    </row>
    <row r="73" spans="1:7" hidden="1" x14ac:dyDescent="0.25">
      <c r="A73">
        <v>72</v>
      </c>
      <c r="B73" t="s">
        <v>19</v>
      </c>
      <c r="C73" t="s">
        <v>19</v>
      </c>
      <c r="D73" t="s">
        <v>9</v>
      </c>
      <c r="E73" t="s">
        <v>14</v>
      </c>
      <c r="F73">
        <v>7.94</v>
      </c>
      <c r="G73">
        <v>8.1999999999999993</v>
      </c>
    </row>
    <row r="74" spans="1:7" hidden="1" x14ac:dyDescent="0.25">
      <c r="A74">
        <v>73</v>
      </c>
      <c r="B74" t="s">
        <v>25</v>
      </c>
      <c r="C74" t="s">
        <v>8</v>
      </c>
      <c r="D74" t="s">
        <v>13</v>
      </c>
      <c r="E74" t="s">
        <v>14</v>
      </c>
      <c r="F74">
        <v>9.0500000000000007</v>
      </c>
      <c r="G74">
        <v>9.6</v>
      </c>
    </row>
    <row r="75" spans="1:7" hidden="1" x14ac:dyDescent="0.25">
      <c r="A75">
        <v>74</v>
      </c>
      <c r="B75" t="s">
        <v>7</v>
      </c>
      <c r="C75" t="s">
        <v>12</v>
      </c>
      <c r="D75" t="s">
        <v>26</v>
      </c>
      <c r="E75" t="s">
        <v>10</v>
      </c>
      <c r="F75">
        <v>6.54</v>
      </c>
      <c r="G75">
        <v>5.6</v>
      </c>
    </row>
    <row r="76" spans="1:7" x14ac:dyDescent="0.25">
      <c r="A76">
        <v>75</v>
      </c>
      <c r="B76" t="s">
        <v>29</v>
      </c>
      <c r="C76" t="s">
        <v>19</v>
      </c>
      <c r="D76" t="s">
        <v>31</v>
      </c>
      <c r="E76" t="s">
        <v>22</v>
      </c>
      <c r="F76">
        <v>2.42</v>
      </c>
      <c r="G76">
        <v>4.8</v>
      </c>
    </row>
    <row r="77" spans="1:7" hidden="1" x14ac:dyDescent="0.25">
      <c r="A77">
        <v>76</v>
      </c>
      <c r="B77" t="s">
        <v>21</v>
      </c>
      <c r="C77" t="s">
        <v>8</v>
      </c>
      <c r="D77" t="s">
        <v>28</v>
      </c>
      <c r="E77" t="s">
        <v>10</v>
      </c>
      <c r="F77">
        <v>3.47</v>
      </c>
      <c r="G77">
        <v>2.2999999999999998</v>
      </c>
    </row>
    <row r="78" spans="1:7" hidden="1" x14ac:dyDescent="0.25">
      <c r="A78">
        <v>77</v>
      </c>
      <c r="B78" t="s">
        <v>19</v>
      </c>
      <c r="C78" t="s">
        <v>8</v>
      </c>
      <c r="D78" t="s">
        <v>13</v>
      </c>
      <c r="E78" t="s">
        <v>10</v>
      </c>
      <c r="F78">
        <v>14.64</v>
      </c>
      <c r="G78">
        <v>1.8</v>
      </c>
    </row>
    <row r="79" spans="1:7" hidden="1" x14ac:dyDescent="0.25">
      <c r="A79">
        <v>78</v>
      </c>
      <c r="B79" t="s">
        <v>21</v>
      </c>
      <c r="C79" t="s">
        <v>19</v>
      </c>
      <c r="D79" t="s">
        <v>26</v>
      </c>
      <c r="E79" t="s">
        <v>14</v>
      </c>
      <c r="F79">
        <v>8.6</v>
      </c>
      <c r="G79">
        <v>5.4</v>
      </c>
    </row>
    <row r="80" spans="1:7" x14ac:dyDescent="0.25">
      <c r="A80">
        <v>79</v>
      </c>
      <c r="B80" t="s">
        <v>23</v>
      </c>
      <c r="C80" t="s">
        <v>8</v>
      </c>
      <c r="D80" t="s">
        <v>17</v>
      </c>
      <c r="E80" t="s">
        <v>22</v>
      </c>
      <c r="F80">
        <v>12.43</v>
      </c>
      <c r="G80">
        <v>5.0999999999999996</v>
      </c>
    </row>
    <row r="81" spans="1:7" hidden="1" x14ac:dyDescent="0.25">
      <c r="A81">
        <v>80</v>
      </c>
      <c r="B81" t="s">
        <v>23</v>
      </c>
      <c r="C81" t="s">
        <v>8</v>
      </c>
      <c r="D81" t="s">
        <v>28</v>
      </c>
      <c r="E81" t="s">
        <v>14</v>
      </c>
      <c r="F81">
        <v>12.61</v>
      </c>
      <c r="G81">
        <v>7</v>
      </c>
    </row>
    <row r="82" spans="1:7" hidden="1" x14ac:dyDescent="0.25">
      <c r="A82">
        <v>81</v>
      </c>
      <c r="B82" t="s">
        <v>21</v>
      </c>
      <c r="C82" t="s">
        <v>12</v>
      </c>
      <c r="D82" t="s">
        <v>31</v>
      </c>
      <c r="E82" t="s">
        <v>14</v>
      </c>
      <c r="F82">
        <v>14.22</v>
      </c>
      <c r="G82">
        <v>8.3000000000000007</v>
      </c>
    </row>
    <row r="83" spans="1:7" hidden="1" x14ac:dyDescent="0.25">
      <c r="A83">
        <v>82</v>
      </c>
      <c r="B83" t="s">
        <v>29</v>
      </c>
      <c r="C83" t="s">
        <v>19</v>
      </c>
      <c r="D83" t="s">
        <v>24</v>
      </c>
      <c r="E83" t="s">
        <v>10</v>
      </c>
      <c r="F83">
        <v>3.57</v>
      </c>
      <c r="G83">
        <v>3.5</v>
      </c>
    </row>
    <row r="84" spans="1:7" hidden="1" x14ac:dyDescent="0.25">
      <c r="A84">
        <v>83</v>
      </c>
      <c r="B84" t="s">
        <v>7</v>
      </c>
      <c r="C84" t="s">
        <v>12</v>
      </c>
      <c r="D84" t="s">
        <v>9</v>
      </c>
      <c r="E84" t="s">
        <v>10</v>
      </c>
      <c r="F84">
        <v>11.63</v>
      </c>
      <c r="G84">
        <v>3.8</v>
      </c>
    </row>
    <row r="85" spans="1:7" hidden="1" x14ac:dyDescent="0.25">
      <c r="A85">
        <v>84</v>
      </c>
      <c r="B85" t="s">
        <v>7</v>
      </c>
      <c r="C85" t="s">
        <v>8</v>
      </c>
      <c r="D85" t="s">
        <v>13</v>
      </c>
      <c r="E85" t="s">
        <v>10</v>
      </c>
      <c r="F85">
        <v>10.220000000000001</v>
      </c>
      <c r="G85">
        <v>2.6</v>
      </c>
    </row>
    <row r="86" spans="1:7" x14ac:dyDescent="0.25">
      <c r="A86">
        <v>85</v>
      </c>
      <c r="B86" t="s">
        <v>27</v>
      </c>
      <c r="C86" t="s">
        <v>19</v>
      </c>
      <c r="D86" t="s">
        <v>31</v>
      </c>
      <c r="E86" t="s">
        <v>22</v>
      </c>
      <c r="F86">
        <v>2.46</v>
      </c>
      <c r="G86">
        <v>8.1</v>
      </c>
    </row>
    <row r="87" spans="1:7" hidden="1" x14ac:dyDescent="0.25">
      <c r="A87">
        <v>86</v>
      </c>
      <c r="B87" t="s">
        <v>25</v>
      </c>
      <c r="C87" t="s">
        <v>12</v>
      </c>
      <c r="D87" t="s">
        <v>9</v>
      </c>
      <c r="E87" t="s">
        <v>14</v>
      </c>
      <c r="F87">
        <v>2.94</v>
      </c>
      <c r="G87">
        <v>1.1000000000000001</v>
      </c>
    </row>
    <row r="88" spans="1:7" hidden="1" x14ac:dyDescent="0.25">
      <c r="A88">
        <v>87</v>
      </c>
      <c r="B88" t="s">
        <v>25</v>
      </c>
      <c r="C88" t="s">
        <v>12</v>
      </c>
      <c r="D88" t="s">
        <v>9</v>
      </c>
      <c r="E88" t="s">
        <v>14</v>
      </c>
      <c r="F88">
        <v>11.85</v>
      </c>
      <c r="G88">
        <v>1.4</v>
      </c>
    </row>
    <row r="89" spans="1:7" x14ac:dyDescent="0.25">
      <c r="A89">
        <v>88</v>
      </c>
      <c r="B89" t="s">
        <v>30</v>
      </c>
      <c r="C89" t="s">
        <v>12</v>
      </c>
      <c r="D89" t="s">
        <v>20</v>
      </c>
      <c r="E89" t="s">
        <v>22</v>
      </c>
      <c r="F89">
        <v>13.56</v>
      </c>
      <c r="G89">
        <v>9.5</v>
      </c>
    </row>
    <row r="90" spans="1:7" hidden="1" x14ac:dyDescent="0.25">
      <c r="A90">
        <v>89</v>
      </c>
      <c r="B90" t="s">
        <v>30</v>
      </c>
      <c r="C90" t="s">
        <v>19</v>
      </c>
      <c r="D90" t="s">
        <v>9</v>
      </c>
      <c r="E90" t="s">
        <v>14</v>
      </c>
      <c r="F90">
        <v>3.42</v>
      </c>
      <c r="G90">
        <v>5.7</v>
      </c>
    </row>
    <row r="91" spans="1:7" hidden="1" x14ac:dyDescent="0.25">
      <c r="A91">
        <v>90</v>
      </c>
      <c r="B91" t="s">
        <v>15</v>
      </c>
      <c r="C91" t="s">
        <v>12</v>
      </c>
      <c r="D91" t="s">
        <v>20</v>
      </c>
      <c r="E91" t="s">
        <v>14</v>
      </c>
      <c r="F91">
        <v>5.73</v>
      </c>
      <c r="G91">
        <v>7.1</v>
      </c>
    </row>
    <row r="92" spans="1:7" x14ac:dyDescent="0.25">
      <c r="A92">
        <v>91</v>
      </c>
      <c r="B92" t="s">
        <v>19</v>
      </c>
      <c r="C92" t="s">
        <v>12</v>
      </c>
      <c r="D92" t="s">
        <v>26</v>
      </c>
      <c r="E92" t="s">
        <v>22</v>
      </c>
      <c r="F92">
        <v>11.46</v>
      </c>
      <c r="G92">
        <v>1.9</v>
      </c>
    </row>
    <row r="93" spans="1:7" hidden="1" x14ac:dyDescent="0.25">
      <c r="A93">
        <v>92</v>
      </c>
      <c r="B93" t="s">
        <v>15</v>
      </c>
      <c r="C93" t="s">
        <v>8</v>
      </c>
      <c r="D93" t="s">
        <v>28</v>
      </c>
      <c r="E93" t="s">
        <v>14</v>
      </c>
      <c r="F93">
        <v>11.67</v>
      </c>
      <c r="G93">
        <v>4.5</v>
      </c>
    </row>
    <row r="94" spans="1:7" hidden="1" x14ac:dyDescent="0.25">
      <c r="A94">
        <v>93</v>
      </c>
      <c r="B94" t="s">
        <v>21</v>
      </c>
      <c r="C94" t="s">
        <v>12</v>
      </c>
      <c r="D94" t="s">
        <v>28</v>
      </c>
      <c r="E94" t="s">
        <v>10</v>
      </c>
      <c r="F94">
        <v>13.28</v>
      </c>
      <c r="G94">
        <v>2.2999999999999998</v>
      </c>
    </row>
    <row r="95" spans="1:7" hidden="1" x14ac:dyDescent="0.25">
      <c r="A95">
        <v>94</v>
      </c>
      <c r="B95" t="s">
        <v>19</v>
      </c>
      <c r="C95" t="s">
        <v>12</v>
      </c>
      <c r="D95" t="s">
        <v>24</v>
      </c>
      <c r="E95" t="s">
        <v>10</v>
      </c>
      <c r="F95">
        <v>4.55</v>
      </c>
      <c r="G95">
        <v>7.9</v>
      </c>
    </row>
    <row r="96" spans="1:7" x14ac:dyDescent="0.25">
      <c r="A96">
        <v>95</v>
      </c>
      <c r="B96" t="s">
        <v>25</v>
      </c>
      <c r="C96" t="s">
        <v>19</v>
      </c>
      <c r="D96" t="s">
        <v>9</v>
      </c>
      <c r="E96" t="s">
        <v>22</v>
      </c>
      <c r="F96">
        <v>3.69</v>
      </c>
      <c r="G96">
        <v>2.1</v>
      </c>
    </row>
    <row r="97" spans="1:7" hidden="1" x14ac:dyDescent="0.25">
      <c r="A97">
        <v>96</v>
      </c>
      <c r="B97" t="s">
        <v>21</v>
      </c>
      <c r="C97" t="s">
        <v>12</v>
      </c>
      <c r="D97" t="s">
        <v>20</v>
      </c>
      <c r="E97" t="s">
        <v>10</v>
      </c>
      <c r="F97">
        <v>11.62</v>
      </c>
      <c r="G97">
        <v>6.4</v>
      </c>
    </row>
    <row r="98" spans="1:7" x14ac:dyDescent="0.25">
      <c r="A98">
        <v>97</v>
      </c>
      <c r="B98" t="s">
        <v>27</v>
      </c>
      <c r="C98" t="s">
        <v>19</v>
      </c>
      <c r="D98" t="s">
        <v>9</v>
      </c>
      <c r="E98" t="s">
        <v>22</v>
      </c>
      <c r="F98">
        <v>12.22</v>
      </c>
      <c r="G98">
        <v>2.7</v>
      </c>
    </row>
    <row r="99" spans="1:7" hidden="1" x14ac:dyDescent="0.25">
      <c r="A99">
        <v>98</v>
      </c>
      <c r="B99" t="s">
        <v>25</v>
      </c>
      <c r="C99" t="s">
        <v>12</v>
      </c>
      <c r="D99" t="s">
        <v>17</v>
      </c>
      <c r="E99" t="s">
        <v>14</v>
      </c>
      <c r="F99">
        <v>2.0499999999999998</v>
      </c>
      <c r="G99">
        <v>8.1</v>
      </c>
    </row>
    <row r="100" spans="1:7" hidden="1" x14ac:dyDescent="0.25">
      <c r="A100">
        <v>99</v>
      </c>
      <c r="B100" t="s">
        <v>19</v>
      </c>
      <c r="C100" t="s">
        <v>12</v>
      </c>
      <c r="D100" t="s">
        <v>28</v>
      </c>
      <c r="E100" t="s">
        <v>10</v>
      </c>
      <c r="F100">
        <v>7.96</v>
      </c>
      <c r="G100">
        <v>9.3000000000000007</v>
      </c>
    </row>
    <row r="101" spans="1:7" hidden="1" x14ac:dyDescent="0.25">
      <c r="A101">
        <v>100</v>
      </c>
      <c r="B101" t="s">
        <v>19</v>
      </c>
      <c r="C101" t="s">
        <v>19</v>
      </c>
      <c r="D101" t="s">
        <v>13</v>
      </c>
      <c r="E101" t="s">
        <v>10</v>
      </c>
      <c r="F101">
        <v>12.82</v>
      </c>
      <c r="G101">
        <v>4.4000000000000004</v>
      </c>
    </row>
    <row r="102" spans="1:7" x14ac:dyDescent="0.25">
      <c r="A102">
        <v>101</v>
      </c>
      <c r="B102" t="s">
        <v>25</v>
      </c>
      <c r="C102" t="s">
        <v>19</v>
      </c>
      <c r="D102" t="s">
        <v>17</v>
      </c>
      <c r="E102" t="s">
        <v>22</v>
      </c>
      <c r="F102">
        <v>3.99</v>
      </c>
      <c r="G102">
        <v>6.9</v>
      </c>
    </row>
    <row r="103" spans="1:7" x14ac:dyDescent="0.25">
      <c r="A103">
        <v>102</v>
      </c>
      <c r="B103" t="s">
        <v>15</v>
      </c>
      <c r="C103" t="s">
        <v>19</v>
      </c>
      <c r="D103" t="s">
        <v>24</v>
      </c>
      <c r="E103" t="s">
        <v>22</v>
      </c>
      <c r="F103">
        <v>2.82</v>
      </c>
      <c r="G103">
        <v>7.7</v>
      </c>
    </row>
    <row r="104" spans="1:7" x14ac:dyDescent="0.25">
      <c r="A104">
        <v>103</v>
      </c>
      <c r="B104" t="s">
        <v>27</v>
      </c>
      <c r="C104" t="s">
        <v>19</v>
      </c>
      <c r="D104" t="s">
        <v>16</v>
      </c>
      <c r="E104" t="s">
        <v>22</v>
      </c>
      <c r="F104">
        <v>8.5299999999999994</v>
      </c>
      <c r="G104">
        <v>1.2</v>
      </c>
    </row>
    <row r="105" spans="1:7" hidden="1" x14ac:dyDescent="0.25">
      <c r="A105">
        <v>104</v>
      </c>
      <c r="B105" t="s">
        <v>29</v>
      </c>
      <c r="C105" t="s">
        <v>12</v>
      </c>
      <c r="D105" t="s">
        <v>31</v>
      </c>
      <c r="E105" t="s">
        <v>14</v>
      </c>
      <c r="F105">
        <v>11.73</v>
      </c>
      <c r="G105">
        <v>5.9</v>
      </c>
    </row>
    <row r="106" spans="1:7" hidden="1" x14ac:dyDescent="0.25">
      <c r="A106">
        <v>105</v>
      </c>
      <c r="B106" t="s">
        <v>23</v>
      </c>
      <c r="C106" t="s">
        <v>19</v>
      </c>
      <c r="D106" t="s">
        <v>24</v>
      </c>
      <c r="E106" t="s">
        <v>10</v>
      </c>
      <c r="F106">
        <v>13.98</v>
      </c>
      <c r="G106">
        <v>2.2000000000000002</v>
      </c>
    </row>
    <row r="107" spans="1:7" hidden="1" x14ac:dyDescent="0.25">
      <c r="A107">
        <v>106</v>
      </c>
      <c r="B107" t="s">
        <v>19</v>
      </c>
      <c r="C107" t="s">
        <v>12</v>
      </c>
      <c r="D107" t="s">
        <v>17</v>
      </c>
      <c r="E107" t="s">
        <v>14</v>
      </c>
      <c r="F107">
        <v>11.97</v>
      </c>
      <c r="G107">
        <v>9.1</v>
      </c>
    </row>
    <row r="108" spans="1:7" hidden="1" x14ac:dyDescent="0.25">
      <c r="A108">
        <v>107</v>
      </c>
      <c r="B108" t="s">
        <v>27</v>
      </c>
      <c r="C108" t="s">
        <v>8</v>
      </c>
      <c r="D108" t="s">
        <v>28</v>
      </c>
      <c r="E108" t="s">
        <v>10</v>
      </c>
      <c r="F108">
        <v>5.18</v>
      </c>
      <c r="G108">
        <v>3.6</v>
      </c>
    </row>
    <row r="109" spans="1:7" x14ac:dyDescent="0.25">
      <c r="A109">
        <v>108</v>
      </c>
      <c r="B109" t="s">
        <v>21</v>
      </c>
      <c r="C109" t="s">
        <v>8</v>
      </c>
      <c r="D109" t="s">
        <v>9</v>
      </c>
      <c r="E109" t="s">
        <v>22</v>
      </c>
      <c r="F109">
        <v>2.77</v>
      </c>
      <c r="G109">
        <v>6.7</v>
      </c>
    </row>
    <row r="110" spans="1:7" hidden="1" x14ac:dyDescent="0.25">
      <c r="A110">
        <v>109</v>
      </c>
      <c r="B110" t="s">
        <v>29</v>
      </c>
      <c r="C110" t="s">
        <v>19</v>
      </c>
      <c r="D110" t="s">
        <v>20</v>
      </c>
      <c r="E110" t="s">
        <v>10</v>
      </c>
      <c r="F110">
        <v>14.96</v>
      </c>
      <c r="G110">
        <v>7.4</v>
      </c>
    </row>
    <row r="111" spans="1:7" hidden="1" x14ac:dyDescent="0.25">
      <c r="A111">
        <v>110</v>
      </c>
      <c r="B111" t="s">
        <v>7</v>
      </c>
      <c r="C111" t="s">
        <v>12</v>
      </c>
      <c r="D111" t="s">
        <v>17</v>
      </c>
      <c r="E111" t="s">
        <v>10</v>
      </c>
      <c r="F111">
        <v>2.94</v>
      </c>
      <c r="G111">
        <v>4.0999999999999996</v>
      </c>
    </row>
    <row r="112" spans="1:7" x14ac:dyDescent="0.25">
      <c r="A112">
        <v>111</v>
      </c>
      <c r="B112" t="s">
        <v>21</v>
      </c>
      <c r="C112" t="s">
        <v>19</v>
      </c>
      <c r="D112" t="s">
        <v>18</v>
      </c>
      <c r="E112" t="s">
        <v>22</v>
      </c>
      <c r="F112">
        <v>2.08</v>
      </c>
      <c r="G112">
        <v>9.8000000000000007</v>
      </c>
    </row>
    <row r="113" spans="1:7" x14ac:dyDescent="0.25">
      <c r="A113">
        <v>112</v>
      </c>
      <c r="B113" t="s">
        <v>15</v>
      </c>
      <c r="C113" t="s">
        <v>8</v>
      </c>
      <c r="D113" t="s">
        <v>26</v>
      </c>
      <c r="E113" t="s">
        <v>22</v>
      </c>
      <c r="F113">
        <v>8.6</v>
      </c>
      <c r="G113">
        <v>9.9</v>
      </c>
    </row>
    <row r="114" spans="1:7" x14ac:dyDescent="0.25">
      <c r="A114">
        <v>113</v>
      </c>
      <c r="B114" t="s">
        <v>29</v>
      </c>
      <c r="C114" t="s">
        <v>8</v>
      </c>
      <c r="D114" t="s">
        <v>20</v>
      </c>
      <c r="E114" t="s">
        <v>22</v>
      </c>
      <c r="F114">
        <v>13.51</v>
      </c>
      <c r="G114">
        <v>7.1</v>
      </c>
    </row>
    <row r="115" spans="1:7" x14ac:dyDescent="0.25">
      <c r="A115">
        <v>114</v>
      </c>
      <c r="B115" t="s">
        <v>19</v>
      </c>
      <c r="C115" t="s">
        <v>12</v>
      </c>
      <c r="D115" t="s">
        <v>26</v>
      </c>
      <c r="E115" t="s">
        <v>22</v>
      </c>
      <c r="F115">
        <v>4.04</v>
      </c>
      <c r="G115">
        <v>9.6</v>
      </c>
    </row>
    <row r="116" spans="1:7" x14ac:dyDescent="0.25">
      <c r="A116">
        <v>115</v>
      </c>
      <c r="B116" t="s">
        <v>15</v>
      </c>
      <c r="C116" t="s">
        <v>12</v>
      </c>
      <c r="D116" t="s">
        <v>31</v>
      </c>
      <c r="E116" t="s">
        <v>22</v>
      </c>
      <c r="F116">
        <v>13.28</v>
      </c>
      <c r="G116">
        <v>4.7</v>
      </c>
    </row>
    <row r="117" spans="1:7" hidden="1" x14ac:dyDescent="0.25">
      <c r="A117">
        <v>116</v>
      </c>
      <c r="B117" t="s">
        <v>27</v>
      </c>
      <c r="C117" t="s">
        <v>12</v>
      </c>
      <c r="D117" t="s">
        <v>17</v>
      </c>
      <c r="E117" t="s">
        <v>10</v>
      </c>
      <c r="F117">
        <v>12.17</v>
      </c>
      <c r="G117">
        <v>9.1</v>
      </c>
    </row>
    <row r="118" spans="1:7" x14ac:dyDescent="0.25">
      <c r="A118">
        <v>117</v>
      </c>
      <c r="B118" t="s">
        <v>27</v>
      </c>
      <c r="C118" t="s">
        <v>12</v>
      </c>
      <c r="D118" t="s">
        <v>31</v>
      </c>
      <c r="E118" t="s">
        <v>22</v>
      </c>
      <c r="F118">
        <v>2.02</v>
      </c>
      <c r="G118">
        <v>6.1</v>
      </c>
    </row>
    <row r="119" spans="1:7" hidden="1" x14ac:dyDescent="0.25">
      <c r="A119">
        <v>118</v>
      </c>
      <c r="B119" t="s">
        <v>15</v>
      </c>
      <c r="C119" t="s">
        <v>12</v>
      </c>
      <c r="D119" t="s">
        <v>20</v>
      </c>
      <c r="E119" t="s">
        <v>14</v>
      </c>
      <c r="F119">
        <v>5.52</v>
      </c>
      <c r="G119">
        <v>4.5999999999999996</v>
      </c>
    </row>
    <row r="120" spans="1:7" hidden="1" x14ac:dyDescent="0.25">
      <c r="A120">
        <v>119</v>
      </c>
      <c r="B120" t="s">
        <v>29</v>
      </c>
      <c r="C120" t="s">
        <v>8</v>
      </c>
      <c r="D120" t="s">
        <v>24</v>
      </c>
      <c r="E120" t="s">
        <v>10</v>
      </c>
      <c r="F120">
        <v>3.71</v>
      </c>
      <c r="G120">
        <v>3.8</v>
      </c>
    </row>
    <row r="121" spans="1:7" x14ac:dyDescent="0.25">
      <c r="A121">
        <v>120</v>
      </c>
      <c r="B121" t="s">
        <v>30</v>
      </c>
      <c r="C121" t="s">
        <v>12</v>
      </c>
      <c r="D121" t="s">
        <v>9</v>
      </c>
      <c r="E121" t="s">
        <v>22</v>
      </c>
      <c r="F121">
        <v>11.55</v>
      </c>
      <c r="G121">
        <v>1.6</v>
      </c>
    </row>
    <row r="122" spans="1:7" hidden="1" x14ac:dyDescent="0.25">
      <c r="A122">
        <v>121</v>
      </c>
      <c r="B122" t="s">
        <v>15</v>
      </c>
      <c r="C122" t="s">
        <v>12</v>
      </c>
      <c r="D122" t="s">
        <v>24</v>
      </c>
      <c r="E122" t="s">
        <v>14</v>
      </c>
      <c r="F122">
        <v>13.98</v>
      </c>
      <c r="G122">
        <v>4.3</v>
      </c>
    </row>
    <row r="123" spans="1:7" hidden="1" x14ac:dyDescent="0.25">
      <c r="A123">
        <v>122</v>
      </c>
      <c r="B123" t="s">
        <v>15</v>
      </c>
      <c r="C123" t="s">
        <v>19</v>
      </c>
      <c r="D123" t="s">
        <v>31</v>
      </c>
      <c r="E123" t="s">
        <v>10</v>
      </c>
      <c r="F123">
        <v>2.7</v>
      </c>
      <c r="G123">
        <v>1.6</v>
      </c>
    </row>
    <row r="124" spans="1:7" hidden="1" x14ac:dyDescent="0.25">
      <c r="A124">
        <v>123</v>
      </c>
      <c r="B124" t="s">
        <v>11</v>
      </c>
      <c r="C124" t="s">
        <v>12</v>
      </c>
      <c r="D124" t="s">
        <v>13</v>
      </c>
      <c r="E124" t="s">
        <v>14</v>
      </c>
      <c r="F124">
        <v>13.66</v>
      </c>
      <c r="G124">
        <v>5.4</v>
      </c>
    </row>
    <row r="125" spans="1:7" hidden="1" x14ac:dyDescent="0.25">
      <c r="A125">
        <v>124</v>
      </c>
      <c r="B125" t="s">
        <v>15</v>
      </c>
      <c r="C125" t="s">
        <v>8</v>
      </c>
      <c r="D125" t="s">
        <v>26</v>
      </c>
      <c r="E125" t="s">
        <v>10</v>
      </c>
      <c r="F125">
        <v>9.82</v>
      </c>
      <c r="G125">
        <v>3.5</v>
      </c>
    </row>
    <row r="126" spans="1:7" x14ac:dyDescent="0.25">
      <c r="A126">
        <v>125</v>
      </c>
      <c r="B126" t="s">
        <v>11</v>
      </c>
      <c r="C126" t="s">
        <v>12</v>
      </c>
      <c r="D126" t="s">
        <v>26</v>
      </c>
      <c r="E126" t="s">
        <v>22</v>
      </c>
      <c r="F126">
        <v>12.82</v>
      </c>
      <c r="G126">
        <v>9.5</v>
      </c>
    </row>
    <row r="127" spans="1:7" x14ac:dyDescent="0.25">
      <c r="A127">
        <v>126</v>
      </c>
      <c r="B127" t="s">
        <v>23</v>
      </c>
      <c r="C127" t="s">
        <v>19</v>
      </c>
      <c r="D127" t="s">
        <v>16</v>
      </c>
      <c r="E127" t="s">
        <v>22</v>
      </c>
      <c r="F127">
        <v>3.87</v>
      </c>
      <c r="G127">
        <v>3.3</v>
      </c>
    </row>
    <row r="128" spans="1:7" hidden="1" x14ac:dyDescent="0.25">
      <c r="A128">
        <v>127</v>
      </c>
      <c r="B128" t="s">
        <v>23</v>
      </c>
      <c r="C128" t="s">
        <v>8</v>
      </c>
      <c r="D128" t="s">
        <v>31</v>
      </c>
      <c r="E128" t="s">
        <v>14</v>
      </c>
      <c r="F128">
        <v>5.16</v>
      </c>
      <c r="G128">
        <v>5.6</v>
      </c>
    </row>
    <row r="129" spans="1:7" hidden="1" x14ac:dyDescent="0.25">
      <c r="A129">
        <v>128</v>
      </c>
      <c r="B129" t="s">
        <v>25</v>
      </c>
      <c r="C129" t="s">
        <v>12</v>
      </c>
      <c r="D129" t="s">
        <v>24</v>
      </c>
      <c r="E129" t="s">
        <v>14</v>
      </c>
      <c r="F129">
        <v>11.95</v>
      </c>
      <c r="G129">
        <v>5.8</v>
      </c>
    </row>
    <row r="130" spans="1:7" hidden="1" x14ac:dyDescent="0.25">
      <c r="A130">
        <v>129</v>
      </c>
      <c r="B130" t="s">
        <v>15</v>
      </c>
      <c r="C130" t="s">
        <v>19</v>
      </c>
      <c r="D130" t="s">
        <v>20</v>
      </c>
      <c r="E130" t="s">
        <v>10</v>
      </c>
      <c r="F130">
        <v>3.95</v>
      </c>
      <c r="G130">
        <v>1.7</v>
      </c>
    </row>
    <row r="131" spans="1:7" hidden="1" x14ac:dyDescent="0.25">
      <c r="A131">
        <v>130</v>
      </c>
      <c r="B131" t="s">
        <v>30</v>
      </c>
      <c r="C131" t="s">
        <v>12</v>
      </c>
      <c r="D131" t="s">
        <v>28</v>
      </c>
      <c r="E131" t="s">
        <v>10</v>
      </c>
      <c r="F131">
        <v>9.65</v>
      </c>
      <c r="G131">
        <v>4</v>
      </c>
    </row>
    <row r="132" spans="1:7" x14ac:dyDescent="0.25">
      <c r="A132">
        <v>131</v>
      </c>
      <c r="B132" t="s">
        <v>21</v>
      </c>
      <c r="C132" t="s">
        <v>19</v>
      </c>
      <c r="D132" t="s">
        <v>9</v>
      </c>
      <c r="E132" t="s">
        <v>22</v>
      </c>
      <c r="F132">
        <v>4.58</v>
      </c>
      <c r="G132">
        <v>5.2</v>
      </c>
    </row>
    <row r="133" spans="1:7" hidden="1" x14ac:dyDescent="0.25">
      <c r="A133">
        <v>132</v>
      </c>
      <c r="B133" t="s">
        <v>7</v>
      </c>
      <c r="C133" t="s">
        <v>19</v>
      </c>
      <c r="D133" t="s">
        <v>31</v>
      </c>
      <c r="E133" t="s">
        <v>10</v>
      </c>
      <c r="F133">
        <v>8.65</v>
      </c>
      <c r="G133">
        <v>4.8</v>
      </c>
    </row>
    <row r="134" spans="1:7" hidden="1" x14ac:dyDescent="0.25">
      <c r="A134">
        <v>133</v>
      </c>
      <c r="B134" t="s">
        <v>25</v>
      </c>
      <c r="C134" t="s">
        <v>8</v>
      </c>
      <c r="D134" t="s">
        <v>9</v>
      </c>
      <c r="E134" t="s">
        <v>10</v>
      </c>
      <c r="F134">
        <v>4.33</v>
      </c>
      <c r="G134">
        <v>6.1</v>
      </c>
    </row>
    <row r="135" spans="1:7" x14ac:dyDescent="0.25">
      <c r="A135">
        <v>134</v>
      </c>
      <c r="B135" t="s">
        <v>11</v>
      </c>
      <c r="C135" t="s">
        <v>19</v>
      </c>
      <c r="D135" t="s">
        <v>28</v>
      </c>
      <c r="E135" t="s">
        <v>22</v>
      </c>
      <c r="F135">
        <v>8.3000000000000007</v>
      </c>
      <c r="G135">
        <v>9.6999999999999993</v>
      </c>
    </row>
    <row r="136" spans="1:7" hidden="1" x14ac:dyDescent="0.25">
      <c r="A136">
        <v>135</v>
      </c>
      <c r="B136" t="s">
        <v>19</v>
      </c>
      <c r="C136" t="s">
        <v>12</v>
      </c>
      <c r="D136" t="s">
        <v>17</v>
      </c>
      <c r="E136" t="s">
        <v>14</v>
      </c>
      <c r="F136">
        <v>13.23</v>
      </c>
      <c r="G136">
        <v>8.1999999999999993</v>
      </c>
    </row>
    <row r="137" spans="1:7" hidden="1" x14ac:dyDescent="0.25">
      <c r="A137">
        <v>136</v>
      </c>
      <c r="B137" t="s">
        <v>23</v>
      </c>
      <c r="C137" t="s">
        <v>8</v>
      </c>
      <c r="D137" t="s">
        <v>20</v>
      </c>
      <c r="E137" t="s">
        <v>10</v>
      </c>
      <c r="F137">
        <v>11.55</v>
      </c>
      <c r="G137">
        <v>6.9</v>
      </c>
    </row>
    <row r="138" spans="1:7" hidden="1" x14ac:dyDescent="0.25">
      <c r="A138">
        <v>137</v>
      </c>
      <c r="B138" t="s">
        <v>30</v>
      </c>
      <c r="C138" t="s">
        <v>8</v>
      </c>
      <c r="D138" t="s">
        <v>17</v>
      </c>
      <c r="E138" t="s">
        <v>10</v>
      </c>
      <c r="F138">
        <v>8.01</v>
      </c>
      <c r="G138">
        <v>3.8</v>
      </c>
    </row>
    <row r="139" spans="1:7" hidden="1" x14ac:dyDescent="0.25">
      <c r="A139">
        <v>138</v>
      </c>
      <c r="B139" t="s">
        <v>7</v>
      </c>
      <c r="C139" t="s">
        <v>19</v>
      </c>
      <c r="D139" t="s">
        <v>17</v>
      </c>
      <c r="E139" t="s">
        <v>14</v>
      </c>
      <c r="F139">
        <v>11.2</v>
      </c>
      <c r="G139">
        <v>2.1</v>
      </c>
    </row>
    <row r="140" spans="1:7" x14ac:dyDescent="0.25">
      <c r="A140">
        <v>139</v>
      </c>
      <c r="B140" t="s">
        <v>23</v>
      </c>
      <c r="C140" t="s">
        <v>12</v>
      </c>
      <c r="D140" t="s">
        <v>18</v>
      </c>
      <c r="E140" t="s">
        <v>22</v>
      </c>
      <c r="F140">
        <v>6.66</v>
      </c>
      <c r="G140">
        <v>5.5</v>
      </c>
    </row>
    <row r="141" spans="1:7" hidden="1" x14ac:dyDescent="0.25">
      <c r="A141">
        <v>140</v>
      </c>
      <c r="B141" t="s">
        <v>30</v>
      </c>
      <c r="C141" t="s">
        <v>12</v>
      </c>
      <c r="D141" t="s">
        <v>28</v>
      </c>
      <c r="E141" t="s">
        <v>10</v>
      </c>
      <c r="F141">
        <v>13.28</v>
      </c>
      <c r="G141">
        <v>3.2</v>
      </c>
    </row>
    <row r="142" spans="1:7" hidden="1" x14ac:dyDescent="0.25">
      <c r="A142">
        <v>141</v>
      </c>
      <c r="B142" t="s">
        <v>30</v>
      </c>
      <c r="C142" t="s">
        <v>12</v>
      </c>
      <c r="D142" t="s">
        <v>18</v>
      </c>
      <c r="E142" t="s">
        <v>10</v>
      </c>
      <c r="F142">
        <v>8.23</v>
      </c>
      <c r="G142">
        <v>6.6</v>
      </c>
    </row>
    <row r="143" spans="1:7" hidden="1" x14ac:dyDescent="0.25">
      <c r="A143">
        <v>142</v>
      </c>
      <c r="B143" t="s">
        <v>25</v>
      </c>
      <c r="C143" t="s">
        <v>12</v>
      </c>
      <c r="D143" t="s">
        <v>13</v>
      </c>
      <c r="E143" t="s">
        <v>10</v>
      </c>
      <c r="F143">
        <v>13.08</v>
      </c>
      <c r="G143">
        <v>7.3</v>
      </c>
    </row>
    <row r="144" spans="1:7" x14ac:dyDescent="0.25">
      <c r="A144">
        <v>143</v>
      </c>
      <c r="B144" t="s">
        <v>30</v>
      </c>
      <c r="C144" t="s">
        <v>12</v>
      </c>
      <c r="D144" t="s">
        <v>18</v>
      </c>
      <c r="E144" t="s">
        <v>22</v>
      </c>
      <c r="F144">
        <v>5.26</v>
      </c>
      <c r="G144">
        <v>7.4</v>
      </c>
    </row>
    <row r="145" spans="1:7" hidden="1" x14ac:dyDescent="0.25">
      <c r="A145">
        <v>144</v>
      </c>
      <c r="B145" t="s">
        <v>27</v>
      </c>
      <c r="C145" t="s">
        <v>12</v>
      </c>
      <c r="D145" t="s">
        <v>16</v>
      </c>
      <c r="E145" t="s">
        <v>10</v>
      </c>
      <c r="F145">
        <v>2.76</v>
      </c>
      <c r="G145">
        <v>3.8</v>
      </c>
    </row>
    <row r="146" spans="1:7" x14ac:dyDescent="0.25">
      <c r="A146">
        <v>145</v>
      </c>
      <c r="B146" t="s">
        <v>15</v>
      </c>
      <c r="C146" t="s">
        <v>19</v>
      </c>
      <c r="D146" t="s">
        <v>31</v>
      </c>
      <c r="E146" t="s">
        <v>22</v>
      </c>
      <c r="F146">
        <v>6.88</v>
      </c>
      <c r="G146">
        <v>3</v>
      </c>
    </row>
    <row r="147" spans="1:7" hidden="1" x14ac:dyDescent="0.25">
      <c r="A147">
        <v>146</v>
      </c>
      <c r="B147" t="s">
        <v>25</v>
      </c>
      <c r="C147" t="s">
        <v>12</v>
      </c>
      <c r="D147" t="s">
        <v>16</v>
      </c>
      <c r="E147" t="s">
        <v>14</v>
      </c>
      <c r="F147">
        <v>5.28</v>
      </c>
      <c r="G147">
        <v>2</v>
      </c>
    </row>
    <row r="148" spans="1:7" hidden="1" x14ac:dyDescent="0.25">
      <c r="A148">
        <v>147</v>
      </c>
      <c r="B148" t="s">
        <v>29</v>
      </c>
      <c r="C148" t="s">
        <v>12</v>
      </c>
      <c r="D148" t="s">
        <v>24</v>
      </c>
      <c r="E148" t="s">
        <v>14</v>
      </c>
      <c r="F148">
        <v>8.17</v>
      </c>
      <c r="G148">
        <v>5.7</v>
      </c>
    </row>
    <row r="149" spans="1:7" x14ac:dyDescent="0.25">
      <c r="A149">
        <v>148</v>
      </c>
      <c r="B149" t="s">
        <v>30</v>
      </c>
      <c r="C149" t="s">
        <v>19</v>
      </c>
      <c r="D149" t="s">
        <v>28</v>
      </c>
      <c r="E149" t="s">
        <v>22</v>
      </c>
      <c r="F149">
        <v>10.85</v>
      </c>
      <c r="G149">
        <v>3.6</v>
      </c>
    </row>
    <row r="150" spans="1:7" hidden="1" x14ac:dyDescent="0.25">
      <c r="A150">
        <v>149</v>
      </c>
      <c r="B150" t="s">
        <v>21</v>
      </c>
      <c r="C150" t="s">
        <v>12</v>
      </c>
      <c r="D150" t="s">
        <v>17</v>
      </c>
      <c r="E150" t="s">
        <v>14</v>
      </c>
      <c r="F150">
        <v>6.41</v>
      </c>
      <c r="G150">
        <v>5.4</v>
      </c>
    </row>
    <row r="151" spans="1:7" hidden="1" x14ac:dyDescent="0.25">
      <c r="A151">
        <v>150</v>
      </c>
      <c r="B151" t="s">
        <v>15</v>
      </c>
      <c r="C151" t="s">
        <v>12</v>
      </c>
      <c r="D151" t="s">
        <v>13</v>
      </c>
      <c r="E151" t="s">
        <v>14</v>
      </c>
      <c r="F151">
        <v>12.33</v>
      </c>
      <c r="G151">
        <v>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Winter_Food_and_Beverages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Taiwo Ajiboye</dc:creator>
  <cp:lastModifiedBy>Taiwo Ajiboye</cp:lastModifiedBy>
  <dcterms:created xsi:type="dcterms:W3CDTF">2026-02-19T14:27:48Z</dcterms:created>
  <dcterms:modified xsi:type="dcterms:W3CDTF">2026-10-09T04:06:25Z</dcterms:modified>
</cp:coreProperties>
</file>